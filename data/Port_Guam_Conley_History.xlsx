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5f8aff0484b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c097eceed4e432b"/>
    <x:sheet xmlns:r="http://schemas.openxmlformats.org/officeDocument/2006/relationships" name="Demand history" sheetId="2" r:id="R2faf6664f6044f4a"/>
    <x:sheet xmlns:r="http://schemas.openxmlformats.org/officeDocument/2006/relationships" name="Financial context" sheetId="3" r:id="R50dc369f48fc47d5"/>
    <x:sheet xmlns:r="http://schemas.openxmlformats.org/officeDocument/2006/relationships" name="Port context" sheetId="4" r:id="R3aea762ba8e54474"/>
    <x:sheet xmlns:r="http://schemas.openxmlformats.org/officeDocument/2006/relationships" name="Model schema" sheetId="5" r:id="R2eb8e843082b445c"/>
    <x:sheet xmlns:r="http://schemas.openxmlformats.org/officeDocument/2006/relationships" name="Sources" sheetId="6" r:id="R2d0d46316583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&quot;$&quot;#,##0;(&quot;$&quot;#,##0);-"/>
  </x:numFmts>
  <x:fonts count="9">
    <x:font>
      <x:sz val="11"/>
      <x:name val="Carlito"/>
    </x:font>
    <x:font>
      <x:sz val="10"/>
      <x:color rgb="FF16253E"/>
      <x:name val="Aptos"/>
    </x:font>
    <x:font>
      <x:b/>
      <x:sz val="10"/>
      <x:color rgb="FFFFFFFF"/>
      <x:name val="Aptos"/>
    </x:font>
    <x:font>
      <x:b/>
      <x:sz val="10"/>
      <x:color rgb="FF7B4E00"/>
      <x:name val="Aptos"/>
    </x:font>
    <x:font>
      <x:b/>
      <x:sz val="20"/>
      <x:color rgb="FF183955"/>
      <x:name val="Aptos Display"/>
    </x:font>
    <x:font>
      <x:i/>
      <x:sz val="10"/>
      <x:color rgb="FF526475"/>
      <x:name val="Aptos"/>
    </x:font>
    <x:font>
      <x:b/>
      <x:sz val="13"/>
      <x:color rgb="FF183955"/>
      <x:name val="Aptos"/>
    </x:font>
    <x:font>
      <x:b/>
      <x:sz val="10"/>
      <x:color rgb="FF183955"/>
      <x:name val="Aptos"/>
    </x:font>
    <x:font>
      <x:sz val="10"/>
      <x:color rgb="FF7B4E0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83955"/>
      </x:patternFill>
    </x:fill>
    <x:fill>
      <x:patternFill patternType="solid">
        <x:fgColor rgb="FFFFF0D6"/>
      </x:patternFill>
    </x:fill>
  </x:fills>
  <x:borders count="2">
    <x:border/>
    <x:border>
      <x:bottom style="thin">
        <x:color rgb="FFD9E3E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1" xfId="0" applyNumberFormat="1" applyFont="1" applyFill="1" applyBorder="1"/>
    <x:xf numFmtId="0" fontId="5" fillId="0" borderId="0" xfId="0" applyNumberFormat="1" applyFont="1" applyFill="1" applyBorder="1"/>
    <x:xf numFmtId="201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3" borderId="0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db0f495a1450d" /><Relationship Type="http://schemas.openxmlformats.org/officeDocument/2006/relationships/theme" Target="/xl/theme/theme1.xml" Id="Rb11cbb9b83804365" /><Relationship Type="http://schemas.openxmlformats.org/officeDocument/2006/relationships/sharedStrings" Target="/xl/sharedStrings.xml" Id="R4bd14a00e1234d2d" /><Relationship Type="http://schemas.openxmlformats.org/officeDocument/2006/relationships/worksheet" Target="/xl/worksheets/sheet1.xml" Id="R6c097eceed4e432b" /><Relationship Type="http://schemas.openxmlformats.org/officeDocument/2006/relationships/worksheet" Target="/xl/worksheets/sheet2.xml" Id="R2faf6664f6044f4a" /><Relationship Type="http://schemas.openxmlformats.org/officeDocument/2006/relationships/worksheet" Target="/xl/worksheets/sheet3.xml" Id="R50dc369f48fc47d5" /><Relationship Type="http://schemas.openxmlformats.org/officeDocument/2006/relationships/worksheet" Target="/xl/worksheets/sheet4.xml" Id="R3aea762ba8e54474" /><Relationship Type="http://schemas.openxmlformats.org/officeDocument/2006/relationships/worksheet" Target="/xl/worksheets/sheet5.xml" Id="R2eb8e843082b445c" /><Relationship Type="http://schemas.openxmlformats.org/officeDocument/2006/relationships/worksheet" Target="/xl/worksheets/sheet6.xml" Id="R2d0d463165834c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955"/>
  </x:sheetPr>
  <x:sheetViews>
    <x:sheetView showGridLines="0" workbookViewId="0"/>
  </x:sheetViews>
  <x:sheetFormatPr defaultRowHeight="15"/>
  <x:cols>
    <x:col min="1" max="1" width="33" hidden="0" customWidth="1"/>
    <x:col min="2" max="2" width="88" hidden="0" customWidth="1"/>
    <x:col min="3" max="3" width="20" hidden="0" customWidth="1"/>
    <x:col min="4" max="4" width="16" hidden="0" customWidth="1"/>
  </x:cols>
  <x:sheetData>
    <x:row r="2">
      <x:c r="A2" s="8" t="str">
        <x:v>Guam and Conley port data</x:v>
      </x:c>
    </x:row>
    <x:row r="3">
      <x:c r="A3" s="9"/>
      <x:c r="B3" s="9"/>
      <x:c r="C3" s="9"/>
      <x:c r="D3" s="9"/>
    </x:row>
    <x:row r="4">
      <x:c r="A4" s="10" t="str">
        <x:v>Annual history through FY2025. Guam fiscal year ends Sep 30; Conley ends Jun 30.</x:v>
      </x:c>
    </x:row>
    <x:row r="6" ht="26" customHeight="1">
      <x:c r="A6" s="3" t="str">
        <x:v>Observed metric</x:v>
      </x:c>
      <x:c r="B6" s="3" t="str">
        <x:v>Annual periods</x:v>
      </x:c>
      <x:c r="C6" s="3" t="str">
        <x:v>FY2025 actual</x:v>
      </x:c>
      <x:c r="D6" s="3" t="str">
        <x:v>Unit</x:v>
      </x:c>
    </x:row>
    <x:row r="7" ht="21" customHeight="1">
      <x:c r="A7" s="1" t="str">
        <x:v>Guam boxes</x:v>
      </x:c>
      <x:c r="B7" s="1" t="n">
        <x:f>COUNTIFS('Demand history'!$A$2:$A$1000,"Guam",'Demand history'!$E$2:$E$1000,"boxes")</x:f>
        <x:v>6</x:v>
      </x:c>
      <x:c r="C7" s="5" t="n">
        <x:f>SUMIFS('Demand history'!$F$2:$F$1000,'Demand history'!$A$2:$A$1000,"Guam",'Demand history'!$B$2:$B$1000,2025,'Demand history'!$E$2:$E$1000,"boxes")</x:f>
        <x:v>83574</x:v>
      </x:c>
      <x:c r="D7" s="1" t="str">
        <x:v>boxes</x:v>
      </x:c>
    </x:row>
    <x:row r="8" ht="21" customHeight="1">
      <x:c r="A8" s="1" t="str">
        <x:v>Conley boxes</x:v>
      </x:c>
      <x:c r="B8" s="1" t="n">
        <x:f>COUNTIFS('Demand history'!$A$2:$A$1000,"Conley",'Demand history'!$E$2:$E$1000,"boxes")</x:f>
        <x:v>10</x:v>
      </x:c>
      <x:c r="C8" s="5" t="n">
        <x:f>SUMIFS('Demand history'!$F$2:$F$1000,'Demand history'!$A$2:$A$1000,"Conley",'Demand history'!$B$2:$B$1000,2025,'Demand history'!$E$2:$E$1000,"boxes")</x:f>
        <x:v>137632</x:v>
      </x:c>
      <x:c r="D8" s="1" t="str">
        <x:v>boxes</x:v>
      </x:c>
    </x:row>
    <x:row r="9" ht="21" customHeight="1">
      <x:c r="A9" s="1" t="str">
        <x:v>Conley TEU</x:v>
      </x:c>
      <x:c r="B9" s="1" t="n">
        <x:f>COUNTIFS('Demand history'!$A$2:$A$1000,"Conley",'Demand history'!$E$2:$E$1000,"teu")</x:f>
        <x:v>10</x:v>
      </x:c>
      <x:c r="C9" s="5" t="n">
        <x:f>SUMIFS('Demand history'!$F$2:$F$1000,'Demand history'!$A$2:$A$1000,"Conley",'Demand history'!$B$2:$B$1000,2025,'Demand history'!$E$2:$E$1000,"teu")</x:f>
        <x:v>247405</x:v>
      </x:c>
      <x:c r="D9" s="1" t="str">
        <x:v>TEU</x:v>
      </x:c>
    </x:row>
    <x:row r="11">
      <x:c r="A11" s="12" t="str">
        <x:v>Forecast and recommendation boundaries</x:v>
      </x:c>
    </x:row>
    <x:row r="13" ht="21" customHeight="1">
      <x:c r="A13" s="13" t="str">
        <x:v>Annual workload</x:v>
      </x:c>
      <x:c r="B13" s="1" t="str">
        <x:v>Python fits separate port-specific annual models and holds out later years.</x:v>
      </x:c>
    </x:row>
    <x:row r="14" ht="21" customHeight="1">
      <x:c r="A14" s="13" t="str">
        <x:v>Two-month port simulation</x:v>
      </x:c>
      <x:c r="B14" s="1" t="str">
        <x:v>Observed per-vessel ETA and cargo not supplied in public annual series.</x:v>
      </x:c>
    </x:row>
    <x:row r="15" ht="21" customHeight="1">
      <x:c r="A15" s="13" t="str">
        <x:v>Box size at Guam</x:v>
      </x:c>
      <x:c r="B15" s="1" t="str">
        <x:v>Unknown. Do not convert Guam box counts to TEU using Conley mix.</x:v>
      </x:c>
    </x:row>
    <x:row r="16" ht="21" customHeight="1">
      <x:c r="A16" s="13" t="str">
        <x:v>Current AnyLogic schedule</x:v>
      </x:c>
      <x:c r="B16" s="1" t="str">
        <x:v>Illustrative 200 vessels; 0–495.75 real h; $1,000/h delay input.</x:v>
      </x:c>
    </x:row>
    <x:row r="17" ht="21" customHeight="1">
      <x:c r="A17" s="13" t="str">
        <x:v>Financial choice</x:v>
      </x:c>
      <x:c r="B17" s="1" t="str">
        <x:v>No incremental costs or vessel delay values: ROI and procurement ranking withheld.</x:v>
      </x:c>
    </x:row>
    <x:row r="18" ht="21" customHeight="1">
      <x:c r="A18" s="13" t="str">
        <x:v>Source discrepancy</x:v>
      </x:c>
      <x:c r="B18" s="1" t="str">
        <x:v>2025 Massport S-15 differs from older FY2018 and FY2020 reports.</x:v>
      </x:c>
    </x:row>
    <x:row r="19" ht="21" customHeight="1">
      <x:c r="A19" s="13" t="str">
        <x:v>Run command</x:v>
      </x:c>
      <x:c r="B19" s="1" t="str">
        <x:v>python port_forecast.py --model-zip PortDigitalTwin_Part6_StressPolicyValidation2.zip</x:v>
      </x:c>
    </x:row>
    <x:row r="21" ht="21" customHeight="1">
      <x:c r="A21" s="13" t="str">
        <x:v>Refresh</x:v>
      </x:c>
      <x:c r="B21" s="1" t="str">
        <x:v>Append actual FY rows in Demand history with source ID and correct unit.</x:v>
      </x:c>
    </x:row>
    <x:row r="22" ht="21" customHeight="1">
      <x:c r="A22" s="13" t="str">
        <x:v>Output</x:v>
      </x:c>
      <x:c r="B22" s="1" t="str">
        <x:v>Python creates forecast_results.csv, rolling_backtest.csv, data_readiness_report.md.</x:v>
      </x:c>
    </x:row>
    <x:row r="24">
      <x:c r="A24" s="15" t="str">
        <x:v>Source note: Conley FY2018 TEUs are 281,978 in 2025 ACFR S-15 versus 283,720 in the FY2018 report. FY2020 is 283,061 versus 282,629.</x:v>
      </x:c>
      <x:c r="B24" s="16"/>
      <x:c r="C24" s="16"/>
      <x:c r="D24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7" hidden="0" customWidth="1"/>
    <x:col min="4" max="4" width="17" hidden="0" customWidth="1"/>
    <x:col min="5" max="5" width="13" hidden="0" customWidth="1"/>
    <x:col min="6" max="6" width="16" hidden="0" customWidth="1"/>
    <x:col min="7" max="7" width="10" hidden="0" customWidth="1"/>
    <x:col min="8" max="8" width="23" hidden="0" customWidth="1"/>
    <x:col min="9" max="9" width="13" hidden="0" customWidth="1"/>
    <x:col min="10" max="10" width="62" hidden="0" customWidth="1"/>
  </x:cols>
  <x:sheetData>
    <x:row r="1" ht="26" customHeight="1">
      <x:c r="A1" s="3" t="str">
        <x:v>port</x:v>
      </x:c>
      <x:c r="B1" s="3" t="str">
        <x:v>fiscal_year</x:v>
      </x:c>
      <x:c r="C1" s="3" t="str">
        <x:v>period_start</x:v>
      </x:c>
      <x:c r="D1" s="3" t="str">
        <x:v>period_end</x:v>
      </x:c>
      <x:c r="E1" s="3" t="str">
        <x:v>metric</x:v>
      </x:c>
      <x:c r="F1" s="3" t="str">
        <x:v>value</x:v>
      </x:c>
      <x:c r="G1" s="3" t="str">
        <x:v>unit</x:v>
      </x:c>
      <x:c r="H1" s="3" t="str">
        <x:v>record_status</x:v>
      </x:c>
      <x:c r="I1" s="3" t="str">
        <x:v>source_id</x:v>
      </x:c>
      <x:c r="J1" s="3" t="str">
        <x:v>note</x:v>
      </x:c>
    </x:row>
    <x:row r="2" ht="21" customHeight="1">
      <x:c r="A2" s="1" t="str">
        <x:v>Guam</x:v>
      </x:c>
      <x:c r="B2" s="1" t="n">
        <x:v>2020</x:v>
      </x:c>
      <x:c r="C2" s="4" t="n">
        <x:v>43739</x:v>
      </x:c>
      <x:c r="D2" s="4" t="n">
        <x:v>44104</x:v>
      </x:c>
      <x:c r="E2" s="1" t="str">
        <x:v>boxes</x:v>
      </x:c>
      <x:c r="F2" s="5" t="n">
        <x:v>85143</x:v>
      </x:c>
      <x:c r="G2" s="1" t="str">
        <x:v>boxes</x:v>
      </x:c>
      <x:c r="H2" s="1" t="str">
        <x:v>official_port_report</x:v>
      </x:c>
      <x:c r="I2" s="1" t="str">
        <x:v>G02</x:v>
      </x:c>
      <x:c r="J2" s="1" t="str">
        <x:v>Port statistics reproduced by Guam economic agency.</x:v>
      </x:c>
    </x:row>
    <x:row r="3" ht="21" customHeight="1">
      <x:c r="A3" s="1" t="str">
        <x:v>Guam</x:v>
      </x:c>
      <x:c r="B3" s="1" t="n">
        <x:v>2021</x:v>
      </x:c>
      <x:c r="C3" s="4" t="n">
        <x:v>44105</x:v>
      </x:c>
      <x:c r="D3" s="4" t="n">
        <x:v>44469</x:v>
      </x:c>
      <x:c r="E3" s="1" t="str">
        <x:v>boxes</x:v>
      </x:c>
      <x:c r="F3" s="5" t="n">
        <x:v>86794</x:v>
      </x:c>
      <x:c r="G3" s="1" t="str">
        <x:v>boxes</x:v>
      </x:c>
      <x:c r="H3" s="1" t="str">
        <x:v>official_port_report</x:v>
      </x:c>
      <x:c r="I3" s="1" t="str">
        <x:v>G02</x:v>
      </x:c>
      <x:c r="J3" s="1" t="str">
        <x:v>Port statistics reproduced by Guam economic agency.</x:v>
      </x:c>
    </x:row>
    <x:row r="4" ht="21" customHeight="1">
      <x:c r="A4" s="1" t="str">
        <x:v>Guam</x:v>
      </x:c>
      <x:c r="B4" s="1" t="n">
        <x:v>2022</x:v>
      </x:c>
      <x:c r="C4" s="4" t="n">
        <x:v>44470</x:v>
      </x:c>
      <x:c r="D4" s="4" t="n">
        <x:v>44834</x:v>
      </x:c>
      <x:c r="E4" s="1" t="str">
        <x:v>boxes</x:v>
      </x:c>
      <x:c r="F4" s="5" t="n">
        <x:v>89052</x:v>
      </x:c>
      <x:c r="G4" s="1" t="str">
        <x:v>boxes</x:v>
      </x:c>
      <x:c r="H4" s="1" t="str">
        <x:v>official_port_report</x:v>
      </x:c>
      <x:c r="I4" s="1" t="str">
        <x:v>G02</x:v>
      </x:c>
      <x:c r="J4" s="1" t="str">
        <x:v>Port statistics reproduced by Guam economic agency.</x:v>
      </x:c>
    </x:row>
    <x:row r="5" ht="21" customHeight="1">
      <x:c r="A5" s="1" t="str">
        <x:v>Guam</x:v>
      </x:c>
      <x:c r="B5" s="1" t="n">
        <x:v>2023</x:v>
      </x:c>
      <x:c r="C5" s="4" t="n">
        <x:v>44835</x:v>
      </x:c>
      <x:c r="D5" s="4" t="n">
        <x:v>45199</x:v>
      </x:c>
      <x:c r="E5" s="1" t="str">
        <x:v>boxes</x:v>
      </x:c>
      <x:c r="F5" s="5" t="n">
        <x:v>85627</x:v>
      </x:c>
      <x:c r="G5" s="1" t="str">
        <x:v>boxes</x:v>
      </x:c>
      <x:c r="H5" s="1" t="str">
        <x:v>official_port_report</x:v>
      </x:c>
      <x:c r="I5" s="1" t="str">
        <x:v>G02</x:v>
      </x:c>
      <x:c r="J5" s="1" t="str">
        <x:v>Port statistics reproduced by Guam economic agency.</x:v>
      </x:c>
    </x:row>
    <x:row r="6" ht="21" customHeight="1">
      <x:c r="A6" s="1" t="str">
        <x:v>Guam</x:v>
      </x:c>
      <x:c r="B6" s="1" t="n">
        <x:v>2024</x:v>
      </x:c>
      <x:c r="C6" s="4" t="n">
        <x:v>45200</x:v>
      </x:c>
      <x:c r="D6" s="4" t="n">
        <x:v>45565</x:v>
      </x:c>
      <x:c r="E6" s="1" t="str">
        <x:v>boxes</x:v>
      </x:c>
      <x:c r="F6" s="5" t="n">
        <x:v>85258</x:v>
      </x:c>
      <x:c r="G6" s="1" t="str">
        <x:v>boxes</x:v>
      </x:c>
      <x:c r="H6" s="1" t="str">
        <x:v>official_port_report</x:v>
      </x:c>
      <x:c r="I6" s="1" t="str">
        <x:v>G02</x:v>
      </x:c>
      <x:c r="J6" s="1" t="str">
        <x:v>Port statistics reproduced by Guam economic agency.</x:v>
      </x:c>
    </x:row>
    <x:row r="7" ht="21" customHeight="1">
      <x:c r="A7" s="1" t="str">
        <x:v>Guam</x:v>
      </x:c>
      <x:c r="B7" s="1" t="n">
        <x:v>2025</x:v>
      </x:c>
      <x:c r="C7" s="4" t="n">
        <x:v>45566</x:v>
      </x:c>
      <x:c r="D7" s="4" t="n">
        <x:v>45930</x:v>
      </x:c>
      <x:c r="E7" s="1" t="str">
        <x:v>boxes</x:v>
      </x:c>
      <x:c r="F7" s="5" t="n">
        <x:v>83574</x:v>
      </x:c>
      <x:c r="G7" s="1" t="str">
        <x:v>boxes</x:v>
      </x:c>
      <x:c r="H7" s="1" t="str">
        <x:v>reported_unaudited</x:v>
      </x:c>
      <x:c r="I7" s="1" t="str">
        <x:v>G03</x:v>
      </x:c>
      <x:c r="J7" s="1" t="str">
        <x:v>FY2025 count from PAG Board report.</x:v>
      </x:c>
    </x:row>
    <x:row r="8" ht="21" customHeight="1">
      <x:c r="A8" s="1" t="str">
        <x:v>Conley</x:v>
      </x:c>
      <x:c r="B8" s="1" t="n">
        <x:v>2016</x:v>
      </x:c>
      <x:c r="C8" s="4" t="n">
        <x:v>42186</x:v>
      </x:c>
      <x:c r="D8" s="4" t="n">
        <x:v>42551</x:v>
      </x:c>
      <x:c r="E8" s="1" t="str">
        <x:v>boxes</x:v>
      </x:c>
      <x:c r="F8" s="5" t="n">
        <x:v>140967</x:v>
      </x:c>
      <x:c r="G8" s="1" t="str">
        <x:v>boxes</x:v>
      </x:c>
      <x:c r="H8" s="1" t="str">
        <x:v>official_ACFR</x:v>
      </x:c>
      <x:c r="I8" s="1" t="str">
        <x:v>C01</x:v>
      </x:c>
      <x:c r="J8" s="1" t="str">
        <x:v>S-15 Containers; excludes over-the-road volumes.</x:v>
      </x:c>
    </x:row>
    <x:row r="9" ht="21" customHeight="1">
      <x:c r="A9" s="1" t="str">
        <x:v>Conley</x:v>
      </x:c>
      <x:c r="B9" s="1" t="n">
        <x:v>2016</x:v>
      </x:c>
      <x:c r="C9" s="4" t="n">
        <x:v>42186</x:v>
      </x:c>
      <x:c r="D9" s="4" t="n">
        <x:v>42551</x:v>
      </x:c>
      <x:c r="E9" s="1" t="str">
        <x:v>teu</x:v>
      </x:c>
      <x:c r="F9" s="5" t="n">
        <x:v>250439</x:v>
      </x:c>
      <x:c r="G9" s="1" t="str">
        <x:v>TEU</x:v>
      </x:c>
      <x:c r="H9" s="1" t="str">
        <x:v>official_ACFR</x:v>
      </x:c>
      <x:c r="I9" s="1" t="str">
        <x:v>C01</x:v>
      </x:c>
      <x:c r="J9" s="1" t="str">
        <x:v>S-15 TEUs, same FY and port scope as boxes.</x:v>
      </x:c>
    </x:row>
    <x:row r="10" ht="21" customHeight="1">
      <x:c r="A10" s="1" t="str">
        <x:v>Conley</x:v>
      </x:c>
      <x:c r="B10" s="1" t="n">
        <x:v>2017</x:v>
      </x:c>
      <x:c r="C10" s="4" t="n">
        <x:v>42552</x:v>
      </x:c>
      <x:c r="D10" s="4" t="n">
        <x:v>42916</x:v>
      </x:c>
      <x:c r="E10" s="1" t="str">
        <x:v>boxes</x:v>
      </x:c>
      <x:c r="F10" s="5" t="n">
        <x:v>145540</x:v>
      </x:c>
      <x:c r="G10" s="1" t="str">
        <x:v>boxes</x:v>
      </x:c>
      <x:c r="H10" s="1" t="str">
        <x:v>official_ACFR</x:v>
      </x:c>
      <x:c r="I10" s="1" t="str">
        <x:v>C01</x:v>
      </x:c>
      <x:c r="J10" s="1" t="str">
        <x:v>S-15 Containers; excludes over-the-road volumes.</x:v>
      </x:c>
    </x:row>
    <x:row r="11" ht="21" customHeight="1">
      <x:c r="A11" s="1" t="str">
        <x:v>Conley</x:v>
      </x:c>
      <x:c r="B11" s="1" t="n">
        <x:v>2017</x:v>
      </x:c>
      <x:c r="C11" s="4" t="n">
        <x:v>42552</x:v>
      </x:c>
      <x:c r="D11" s="4" t="n">
        <x:v>42916</x:v>
      </x:c>
      <x:c r="E11" s="1" t="str">
        <x:v>teu</x:v>
      </x:c>
      <x:c r="F11" s="5" t="n">
        <x:v>254747</x:v>
      </x:c>
      <x:c r="G11" s="1" t="str">
        <x:v>TEU</x:v>
      </x:c>
      <x:c r="H11" s="1" t="str">
        <x:v>official_ACFR</x:v>
      </x:c>
      <x:c r="I11" s="1" t="str">
        <x:v>C01</x:v>
      </x:c>
      <x:c r="J11" s="1" t="str">
        <x:v>S-15 TEUs, same FY and port scope as boxes.</x:v>
      </x:c>
    </x:row>
    <x:row r="12" ht="21" customHeight="1">
      <x:c r="A12" s="1" t="str">
        <x:v>Conley</x:v>
      </x:c>
      <x:c r="B12" s="1" t="n">
        <x:v>2018</x:v>
      </x:c>
      <x:c r="C12" s="4" t="n">
        <x:v>42917</x:v>
      </x:c>
      <x:c r="D12" s="4" t="n">
        <x:v>43281</x:v>
      </x:c>
      <x:c r="E12" s="1" t="str">
        <x:v>boxes</x:v>
      </x:c>
      <x:c r="F12" s="5" t="n">
        <x:v>161130</x:v>
      </x:c>
      <x:c r="G12" s="1" t="str">
        <x:v>boxes</x:v>
      </x:c>
      <x:c r="H12" s="1" t="str">
        <x:v>official_ACFR</x:v>
      </x:c>
      <x:c r="I12" s="1" t="str">
        <x:v>C01</x:v>
      </x:c>
      <x:c r="J12" s="1" t="str">
        <x:v>S-15 Containers; excludes over-the-road volumes.</x:v>
      </x:c>
    </x:row>
    <x:row r="13" ht="21" customHeight="1">
      <x:c r="A13" s="1" t="str">
        <x:v>Conley</x:v>
      </x:c>
      <x:c r="B13" s="1" t="n">
        <x:v>2018</x:v>
      </x:c>
      <x:c r="C13" s="4" t="n">
        <x:v>42917</x:v>
      </x:c>
      <x:c r="D13" s="4" t="n">
        <x:v>43281</x:v>
      </x:c>
      <x:c r="E13" s="1" t="str">
        <x:v>teu</x:v>
      </x:c>
      <x:c r="F13" s="5" t="n">
        <x:v>281978</x:v>
      </x:c>
      <x:c r="G13" s="1" t="str">
        <x:v>TEU</x:v>
      </x:c>
      <x:c r="H13" s="1" t="str">
        <x:v>official_ACFR</x:v>
      </x:c>
      <x:c r="I13" s="1" t="str">
        <x:v>C01</x:v>
      </x:c>
      <x:c r="J13" s="1" t="str">
        <x:v>S-15 TEUs, same FY and port scope as boxes.</x:v>
      </x:c>
    </x:row>
    <x:row r="14" ht="21" customHeight="1">
      <x:c r="A14" s="1" t="str">
        <x:v>Conley</x:v>
      </x:c>
      <x:c r="B14" s="1" t="n">
        <x:v>2019</x:v>
      </x:c>
      <x:c r="C14" s="4" t="n">
        <x:v>43282</x:v>
      </x:c>
      <x:c r="D14" s="4" t="n">
        <x:v>43646</x:v>
      </x:c>
      <x:c r="E14" s="1" t="str">
        <x:v>boxes</x:v>
      </x:c>
      <x:c r="F14" s="5" t="n">
        <x:v>174849</x:v>
      </x:c>
      <x:c r="G14" s="1" t="str">
        <x:v>boxes</x:v>
      </x:c>
      <x:c r="H14" s="1" t="str">
        <x:v>official_ACFR</x:v>
      </x:c>
      <x:c r="I14" s="1" t="str">
        <x:v>C01</x:v>
      </x:c>
      <x:c r="J14" s="1" t="str">
        <x:v>S-15 Containers; excludes over-the-road volumes.</x:v>
      </x:c>
    </x:row>
    <x:row r="15" ht="21" customHeight="1">
      <x:c r="A15" s="1" t="str">
        <x:v>Conley</x:v>
      </x:c>
      <x:c r="B15" s="1" t="n">
        <x:v>2019</x:v>
      </x:c>
      <x:c r="C15" s="4" t="n">
        <x:v>43282</x:v>
      </x:c>
      <x:c r="D15" s="4" t="n">
        <x:v>43646</x:v>
      </x:c>
      <x:c r="E15" s="1" t="str">
        <x:v>teu</x:v>
      </x:c>
      <x:c r="F15" s="5" t="n">
        <x:v>307331</x:v>
      </x:c>
      <x:c r="G15" s="1" t="str">
        <x:v>TEU</x:v>
      </x:c>
      <x:c r="H15" s="1" t="str">
        <x:v>official_ACFR</x:v>
      </x:c>
      <x:c r="I15" s="1" t="str">
        <x:v>C01</x:v>
      </x:c>
      <x:c r="J15" s="1" t="str">
        <x:v>S-15 TEUs, same FY and port scope as boxes.</x:v>
      </x:c>
    </x:row>
    <x:row r="16" ht="21" customHeight="1">
      <x:c r="A16" s="1" t="str">
        <x:v>Conley</x:v>
      </x:c>
      <x:c r="B16" s="1" t="n">
        <x:v>2020</x:v>
      </x:c>
      <x:c r="C16" s="4" t="n">
        <x:v>43647</x:v>
      </x:c>
      <x:c r="D16" s="4" t="n">
        <x:v>44012</x:v>
      </x:c>
      <x:c r="E16" s="1" t="str">
        <x:v>boxes</x:v>
      </x:c>
      <x:c r="F16" s="5" t="n">
        <x:v>161171</x:v>
      </x:c>
      <x:c r="G16" s="1" t="str">
        <x:v>boxes</x:v>
      </x:c>
      <x:c r="H16" s="1" t="str">
        <x:v>official_ACFR</x:v>
      </x:c>
      <x:c r="I16" s="1" t="str">
        <x:v>C01</x:v>
      </x:c>
      <x:c r="J16" s="1" t="str">
        <x:v>S-15 Containers; excludes over-the-road volumes.</x:v>
      </x:c>
    </x:row>
    <x:row r="17" ht="21" customHeight="1">
      <x:c r="A17" s="1" t="str">
        <x:v>Conley</x:v>
      </x:c>
      <x:c r="B17" s="1" t="n">
        <x:v>2020</x:v>
      </x:c>
      <x:c r="C17" s="4" t="n">
        <x:v>43647</x:v>
      </x:c>
      <x:c r="D17" s="4" t="n">
        <x:v>44012</x:v>
      </x:c>
      <x:c r="E17" s="1" t="str">
        <x:v>teu</x:v>
      </x:c>
      <x:c r="F17" s="5" t="n">
        <x:v>283061</x:v>
      </x:c>
      <x:c r="G17" s="1" t="str">
        <x:v>TEU</x:v>
      </x:c>
      <x:c r="H17" s="1" t="str">
        <x:v>official_ACFR</x:v>
      </x:c>
      <x:c r="I17" s="1" t="str">
        <x:v>C01</x:v>
      </x:c>
      <x:c r="J17" s="1" t="str">
        <x:v>S-15 TEUs, same FY and port scope as boxes.</x:v>
      </x:c>
    </x:row>
    <x:row r="18" ht="21" customHeight="1">
      <x:c r="A18" s="1" t="str">
        <x:v>Conley</x:v>
      </x:c>
      <x:c r="B18" s="1" t="n">
        <x:v>2021</x:v>
      </x:c>
      <x:c r="C18" s="4" t="n">
        <x:v>44013</x:v>
      </x:c>
      <x:c r="D18" s="4" t="n">
        <x:v>44377</x:v>
      </x:c>
      <x:c r="E18" s="1" t="str">
        <x:v>boxes</x:v>
      </x:c>
      <x:c r="F18" s="5" t="n">
        <x:v>140750</x:v>
      </x:c>
      <x:c r="G18" s="1" t="str">
        <x:v>boxes</x:v>
      </x:c>
      <x:c r="H18" s="1" t="str">
        <x:v>official_ACFR</x:v>
      </x:c>
      <x:c r="I18" s="1" t="str">
        <x:v>C01</x:v>
      </x:c>
      <x:c r="J18" s="1" t="str">
        <x:v>S-15 Containers; excludes over-the-road volumes.</x:v>
      </x:c>
    </x:row>
    <x:row r="19" ht="21" customHeight="1">
      <x:c r="A19" s="1" t="str">
        <x:v>Conley</x:v>
      </x:c>
      <x:c r="B19" s="1" t="n">
        <x:v>2021</x:v>
      </x:c>
      <x:c r="C19" s="4" t="n">
        <x:v>44013</x:v>
      </x:c>
      <x:c r="D19" s="4" t="n">
        <x:v>44377</x:v>
      </x:c>
      <x:c r="E19" s="1" t="str">
        <x:v>teu</x:v>
      </x:c>
      <x:c r="F19" s="5" t="n">
        <x:v>247845</x:v>
      </x:c>
      <x:c r="G19" s="1" t="str">
        <x:v>TEU</x:v>
      </x:c>
      <x:c r="H19" s="1" t="str">
        <x:v>official_ACFR</x:v>
      </x:c>
      <x:c r="I19" s="1" t="str">
        <x:v>C01</x:v>
      </x:c>
      <x:c r="J19" s="1" t="str">
        <x:v>S-15 TEUs, same FY and port scope as boxes.</x:v>
      </x:c>
    </x:row>
    <x:row r="20" ht="21" customHeight="1">
      <x:c r="A20" s="1" t="str">
        <x:v>Conley</x:v>
      </x:c>
      <x:c r="B20" s="1" t="n">
        <x:v>2022</x:v>
      </x:c>
      <x:c r="C20" s="4" t="n">
        <x:v>44378</x:v>
      </x:c>
      <x:c r="D20" s="4" t="n">
        <x:v>44742</x:v>
      </x:c>
      <x:c r="E20" s="1" t="str">
        <x:v>boxes</x:v>
      </x:c>
      <x:c r="F20" s="5" t="n">
        <x:v>79095</x:v>
      </x:c>
      <x:c r="G20" s="1" t="str">
        <x:v>boxes</x:v>
      </x:c>
      <x:c r="H20" s="1" t="str">
        <x:v>official_ACFR</x:v>
      </x:c>
      <x:c r="I20" s="1" t="str">
        <x:v>C01</x:v>
      </x:c>
      <x:c r="J20" s="1" t="str">
        <x:v>S-15 Containers; excludes over-the-road volumes.</x:v>
      </x:c>
    </x:row>
    <x:row r="21" ht="21" customHeight="1">
      <x:c r="A21" s="1" t="str">
        <x:v>Conley</x:v>
      </x:c>
      <x:c r="B21" s="1" t="n">
        <x:v>2022</x:v>
      </x:c>
      <x:c r="C21" s="4" t="n">
        <x:v>44378</x:v>
      </x:c>
      <x:c r="D21" s="4" t="n">
        <x:v>44742</x:v>
      </x:c>
      <x:c r="E21" s="1" t="str">
        <x:v>teu</x:v>
      </x:c>
      <x:c r="F21" s="5" t="n">
        <x:v>139959</x:v>
      </x:c>
      <x:c r="G21" s="1" t="str">
        <x:v>TEU</x:v>
      </x:c>
      <x:c r="H21" s="1" t="str">
        <x:v>official_ACFR</x:v>
      </x:c>
      <x:c r="I21" s="1" t="str">
        <x:v>C01</x:v>
      </x:c>
      <x:c r="J21" s="1" t="str">
        <x:v>S-15 TEUs, same FY and port scope as boxes.</x:v>
      </x:c>
    </x:row>
    <x:row r="22" ht="21" customHeight="1">
      <x:c r="A22" s="1" t="str">
        <x:v>Conley</x:v>
      </x:c>
      <x:c r="B22" s="1" t="n">
        <x:v>2023</x:v>
      </x:c>
      <x:c r="C22" s="4" t="n">
        <x:v>44743</x:v>
      </x:c>
      <x:c r="D22" s="4" t="n">
        <x:v>45107</x:v>
      </x:c>
      <x:c r="E22" s="1" t="str">
        <x:v>boxes</x:v>
      </x:c>
      <x:c r="F22" s="5" t="n">
        <x:v>123460</x:v>
      </x:c>
      <x:c r="G22" s="1" t="str">
        <x:v>boxes</x:v>
      </x:c>
      <x:c r="H22" s="1" t="str">
        <x:v>official_ACFR</x:v>
      </x:c>
      <x:c r="I22" s="1" t="str">
        <x:v>C01</x:v>
      </x:c>
      <x:c r="J22" s="1" t="str">
        <x:v>S-15 Containers; excludes over-the-road volumes.</x:v>
      </x:c>
    </x:row>
    <x:row r="23" ht="21" customHeight="1">
      <x:c r="A23" s="1" t="str">
        <x:v>Conley</x:v>
      </x:c>
      <x:c r="B23" s="1" t="n">
        <x:v>2023</x:v>
      </x:c>
      <x:c r="C23" s="4" t="n">
        <x:v>44743</x:v>
      </x:c>
      <x:c r="D23" s="4" t="n">
        <x:v>45107</x:v>
      </x:c>
      <x:c r="E23" s="1" t="str">
        <x:v>teu</x:v>
      </x:c>
      <x:c r="F23" s="5" t="n">
        <x:v>220810</x:v>
      </x:c>
      <x:c r="G23" s="1" t="str">
        <x:v>TEU</x:v>
      </x:c>
      <x:c r="H23" s="1" t="str">
        <x:v>official_ACFR</x:v>
      </x:c>
      <x:c r="I23" s="1" t="str">
        <x:v>C01</x:v>
      </x:c>
      <x:c r="J23" s="1" t="str">
        <x:v>S-15 TEUs, same FY and port scope as boxes.</x:v>
      </x:c>
    </x:row>
    <x:row r="24" ht="21" customHeight="1">
      <x:c r="A24" s="1" t="str">
        <x:v>Conley</x:v>
      </x:c>
      <x:c r="B24" s="1" t="n">
        <x:v>2024</x:v>
      </x:c>
      <x:c r="C24" s="4" t="n">
        <x:v>45108</x:v>
      </x:c>
      <x:c r="D24" s="4" t="n">
        <x:v>45473</x:v>
      </x:c>
      <x:c r="E24" s="1" t="str">
        <x:v>boxes</x:v>
      </x:c>
      <x:c r="F24" s="5" t="n">
        <x:v>145117</x:v>
      </x:c>
      <x:c r="G24" s="1" t="str">
        <x:v>boxes</x:v>
      </x:c>
      <x:c r="H24" s="1" t="str">
        <x:v>official_ACFR</x:v>
      </x:c>
      <x:c r="I24" s="1" t="str">
        <x:v>C01</x:v>
      </x:c>
      <x:c r="J24" s="1" t="str">
        <x:v>S-15 Containers; excludes over-the-road volumes.</x:v>
      </x:c>
    </x:row>
    <x:row r="25" ht="21" customHeight="1">
      <x:c r="A25" s="1" t="str">
        <x:v>Conley</x:v>
      </x:c>
      <x:c r="B25" s="1" t="n">
        <x:v>2024</x:v>
      </x:c>
      <x:c r="C25" s="4" t="n">
        <x:v>45108</x:v>
      </x:c>
      <x:c r="D25" s="4" t="n">
        <x:v>45473</x:v>
      </x:c>
      <x:c r="E25" s="1" t="str">
        <x:v>teu</x:v>
      </x:c>
      <x:c r="F25" s="5" t="n">
        <x:v>258620</x:v>
      </x:c>
      <x:c r="G25" s="1" t="str">
        <x:v>TEU</x:v>
      </x:c>
      <x:c r="H25" s="1" t="str">
        <x:v>official_ACFR</x:v>
      </x:c>
      <x:c r="I25" s="1" t="str">
        <x:v>C01</x:v>
      </x:c>
      <x:c r="J25" s="1" t="str">
        <x:v>S-15 TEUs, same FY and port scope as boxes.</x:v>
      </x:c>
    </x:row>
    <x:row r="26" ht="21" customHeight="1">
      <x:c r="A26" s="1" t="str">
        <x:v>Conley</x:v>
      </x:c>
      <x:c r="B26" s="1" t="n">
        <x:v>2025</x:v>
      </x:c>
      <x:c r="C26" s="4" t="n">
        <x:v>45474</x:v>
      </x:c>
      <x:c r="D26" s="4" t="n">
        <x:v>45838</x:v>
      </x:c>
      <x:c r="E26" s="1" t="str">
        <x:v>boxes</x:v>
      </x:c>
      <x:c r="F26" s="5" t="n">
        <x:v>137632</x:v>
      </x:c>
      <x:c r="G26" s="1" t="str">
        <x:v>boxes</x:v>
      </x:c>
      <x:c r="H26" s="1" t="str">
        <x:v>official_ACFR</x:v>
      </x:c>
      <x:c r="I26" s="1" t="str">
        <x:v>C01</x:v>
      </x:c>
      <x:c r="J26" s="1" t="str">
        <x:v>S-15 Containers; excludes over-the-road volumes.</x:v>
      </x:c>
    </x:row>
    <x:row r="27" ht="21" customHeight="1">
      <x:c r="A27" s="1" t="str">
        <x:v>Conley</x:v>
      </x:c>
      <x:c r="B27" s="1" t="n">
        <x:v>2025</x:v>
      </x:c>
      <x:c r="C27" s="4" t="n">
        <x:v>45474</x:v>
      </x:c>
      <x:c r="D27" s="4" t="n">
        <x:v>45838</x:v>
      </x:c>
      <x:c r="E27" s="1" t="str">
        <x:v>teu</x:v>
      </x:c>
      <x:c r="F27" s="5" t="n">
        <x:v>247405</x:v>
      </x:c>
      <x:c r="G27" s="1" t="str">
        <x:v>TEU</x:v>
      </x:c>
      <x:c r="H27" s="1" t="str">
        <x:v>official_ACFR</x:v>
      </x:c>
      <x:c r="I27" s="1" t="str">
        <x:v>C01</x:v>
      </x:c>
      <x:c r="J27" s="1" t="str">
        <x:v>S-15 TEUs, same FY and port scope as boxes.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37" hidden="0" customWidth="1"/>
    <x:col min="4" max="4" width="19" hidden="0" customWidth="1"/>
    <x:col min="5" max="5" width="19" hidden="0" customWidth="1"/>
    <x:col min="6" max="6" width="13" hidden="0" customWidth="1"/>
    <x:col min="7" max="7" width="68" hidden="0" customWidth="1"/>
  </x:cols>
  <x:sheetData>
    <x:row r="1" ht="26" customHeight="1">
      <x:c r="A1" s="3" t="str">
        <x:v>port</x:v>
      </x:c>
      <x:c r="B1" s="3" t="str">
        <x:v>fiscal_year</x:v>
      </x:c>
      <x:c r="C1" s="3" t="str">
        <x:v>metric</x:v>
      </x:c>
      <x:c r="D1" s="3" t="str">
        <x:v>value_usd</x:v>
      </x:c>
      <x:c r="E1" s="3" t="str">
        <x:v>value_precision</x:v>
      </x:c>
      <x:c r="F1" s="3" t="str">
        <x:v>source_id</x:v>
      </x:c>
      <x:c r="G1" s="3" t="str">
        <x:v>interpretation</x:v>
      </x:c>
    </x:row>
    <x:row r="2" ht="21" customHeight="1">
      <x:c r="A2" s="1" t="str">
        <x:v>Guam</x:v>
      </x:c>
      <x:c r="B2" s="1" t="n">
        <x:v>2024</x:v>
      </x:c>
      <x:c r="C2" s="1" t="str">
        <x:v>Operating revenue</x:v>
      </x:c>
      <x:c r="D2" s="6" t="n">
        <x:v>58667150</x:v>
      </x:c>
      <x:c r="E2" s="1" t="str">
        <x:v>dollars</x:v>
      </x:c>
      <x:c r="F2" s="1" t="str">
        <x:v>G04</x:v>
      </x:c>
      <x:c r="G2" s="1" t="str">
        <x:v>Authority-wide revenue; not incremental policy revenue.</x:v>
      </x:c>
    </x:row>
    <x:row r="3" ht="21" customHeight="1">
      <x:c r="A3" s="1" t="str">
        <x:v>Guam</x:v>
      </x:c>
      <x:c r="B3" s="1" t="n">
        <x:v>2024</x:v>
      </x:c>
      <x:c r="C3" s="1" t="str">
        <x:v>Operating expense</x:v>
      </x:c>
      <x:c r="D3" s="6" t="n">
        <x:v>68830613</x:v>
      </x:c>
      <x:c r="E3" s="1" t="str">
        <x:v>dollars</x:v>
      </x:c>
      <x:c r="F3" s="1" t="str">
        <x:v>G04</x:v>
      </x:c>
      <x:c r="G3" s="1" t="str">
        <x:v>Authority-wide expense; not crane-hour cost.</x:v>
      </x:c>
    </x:row>
    <x:row r="4" ht="21" customHeight="1">
      <x:c r="A4" s="1" t="str">
        <x:v>Guam</x:v>
      </x:c>
      <x:c r="B4" s="1" t="n">
        <x:v>2024</x:v>
      </x:c>
      <x:c r="C4" s="1" t="str">
        <x:v>Non-operating revenue, net</x:v>
      </x:c>
      <x:c r="D4" s="6" t="n">
        <x:v>12936499</x:v>
      </x:c>
      <x:c r="E4" s="1" t="str">
        <x:v>dollars</x:v>
      </x:c>
      <x:c r="F4" s="1" t="str">
        <x:v>G04</x:v>
      </x:c>
      <x:c r="G4" s="1" t="str">
        <x:v>Includes financing and other non-operating items.</x:v>
      </x:c>
    </x:row>
    <x:row r="5" ht="21" customHeight="1">
      <x:c r="A5" s="1" t="str">
        <x:v>Guam</x:v>
      </x:c>
      <x:c r="B5" s="1" t="n">
        <x:v>2025</x:v>
      </x:c>
      <x:c r="C5" s="1" t="str">
        <x:v>Operating revenue</x:v>
      </x:c>
      <x:c r="D5" s="6" t="n">
        <x:v>57693460</x:v>
      </x:c>
      <x:c r="E5" s="1" t="str">
        <x:v>dollars</x:v>
      </x:c>
      <x:c r="F5" s="1" t="str">
        <x:v>G04</x:v>
      </x:c>
      <x:c r="G5" s="1" t="str">
        <x:v>Authority-wide revenue; not incremental policy revenue.</x:v>
      </x:c>
    </x:row>
    <x:row r="6" ht="21" customHeight="1">
      <x:c r="A6" s="1" t="str">
        <x:v>Guam</x:v>
      </x:c>
      <x:c r="B6" s="1" t="n">
        <x:v>2025</x:v>
      </x:c>
      <x:c r="C6" s="1" t="str">
        <x:v>Operating expense</x:v>
      </x:c>
      <x:c r="D6" s="6" t="n">
        <x:v>62894840</x:v>
      </x:c>
      <x:c r="E6" s="1" t="str">
        <x:v>dollars</x:v>
      </x:c>
      <x:c r="F6" s="1" t="str">
        <x:v>G04</x:v>
      </x:c>
      <x:c r="G6" s="1" t="str">
        <x:v>FY2025 audited summary; supersedes provisional board figures.</x:v>
      </x:c>
    </x:row>
    <x:row r="7" ht="21" customHeight="1">
      <x:c r="A7" s="1" t="str">
        <x:v>Guam</x:v>
      </x:c>
      <x:c r="B7" s="1" t="n">
        <x:v>2025</x:v>
      </x:c>
      <x:c r="C7" s="1" t="str">
        <x:v>Non-operating revenue, net</x:v>
      </x:c>
      <x:c r="D7" s="6" t="n">
        <x:v>9037263</x:v>
      </x:c>
      <x:c r="E7" s="1" t="str">
        <x:v>dollars</x:v>
      </x:c>
      <x:c r="F7" s="1" t="str">
        <x:v>G04</x:v>
      </x:c>
      <x:c r="G7" s="1" t="str">
        <x:v>Net non-operating items; not terminal handling revenue.</x:v>
      </x:c>
    </x:row>
    <x:row r="8" ht="21" customHeight="1">
      <x:c r="A8" s="1" t="str">
        <x:v>Guam</x:v>
      </x:c>
      <x:c r="B8" s="1" t="n">
        <x:v>2026</x:v>
      </x:c>
      <x:c r="C8" s="1" t="str">
        <x:v>Three-crane replacement project</x:v>
      </x:c>
      <x:c r="D8" s="6" t="n">
        <x:v>74586792</x:v>
      </x:c>
      <x:c r="E8" s="1" t="str">
        <x:v>project total</x:v>
      </x:c>
      <x:c r="F8" s="1" t="str">
        <x:v>G05</x:v>
      </x:c>
      <x:c r="G8" s="1" t="str">
        <x:v>Three-crane package; not a single additional crane price.</x:v>
      </x:c>
    </x:row>
    <x:row r="9" ht="21" customHeight="1">
      <x:c r="A9" s="1" t="str">
        <x:v>Guam</x:v>
      </x:c>
      <x:c r="B9" s="1" t="n">
        <x:v>2026</x:v>
      </x:c>
      <x:c r="C9" s="1" t="str">
        <x:v>Federal share, three-crane project</x:v>
      </x:c>
      <x:c r="D9" s="6" t="n">
        <x:v>59669434</x:v>
      </x:c>
      <x:c r="E9" s="1" t="str">
        <x:v>project budget</x:v>
      </x:c>
      <x:c r="F9" s="1" t="str">
        <x:v>G05</x:v>
      </x:c>
      <x:c r="G9" s="1" t="str">
        <x:v>Funding share; does not reduce social resource cost.</x:v>
      </x:c>
    </x:row>
    <x:row r="10" ht="21" customHeight="1">
      <x:c r="A10" s="1" t="str">
        <x:v>Guam</x:v>
      </x:c>
      <x:c r="B10" s="1" t="n">
        <x:v>2026</x:v>
      </x:c>
      <x:c r="C10" s="1" t="str">
        <x:v>Non-federal share, three-crane project</x:v>
      </x:c>
      <x:c r="D10" s="6" t="n">
        <x:v>14917358</x:v>
      </x:c>
      <x:c r="E10" s="1" t="str">
        <x:v>project budget</x:v>
      </x:c>
      <x:c r="F10" s="1" t="str">
        <x:v>G05</x:v>
      </x:c>
      <x:c r="G10" s="1" t="str">
        <x:v>Project funding share, not total project cost.</x:v>
      </x:c>
    </x:row>
    <x:row r="11" ht="21" customHeight="1">
      <x:c r="A11" s="1" t="str">
        <x:v>Conley</x:v>
      </x:c>
      <x:c r="B11" s="1" t="n">
        <x:v>2023</x:v>
      </x:c>
      <x:c r="C11" s="1" t="str">
        <x:v>Container revenue</x:v>
      </x:c>
      <x:c r="D11" s="6" t="n">
        <x:v>65400000</x:v>
      </x:c>
      <x:c r="E11" s="1" t="str">
        <x:v>published $0.1m</x:v>
      </x:c>
      <x:c r="F11" s="1" t="str">
        <x:v>C01</x:v>
      </x:c>
      <x:c r="G11" s="1" t="str">
        <x:v>Container business revenue, not profit or per-TEU fee.</x:v>
      </x:c>
    </x:row>
    <x:row r="12" ht="21" customHeight="1">
      <x:c r="A12" s="1" t="str">
        <x:v>Conley</x:v>
      </x:c>
      <x:c r="B12" s="1" t="n">
        <x:v>2024</x:v>
      </x:c>
      <x:c r="C12" s="1" t="str">
        <x:v>Container revenue</x:v>
      </x:c>
      <x:c r="D12" s="6" t="n">
        <x:v>71500000</x:v>
      </x:c>
      <x:c r="E12" s="1" t="str">
        <x:v>published $0.1m</x:v>
      </x:c>
      <x:c r="F12" s="1" t="str">
        <x:v>C01</x:v>
      </x:c>
      <x:c r="G12" s="1" t="str">
        <x:v>Container business revenue, not profit or per-TEU fee.</x:v>
      </x:c>
    </x:row>
    <x:row r="13" ht="21" customHeight="1">
      <x:c r="A13" s="1" t="str">
        <x:v>Conley</x:v>
      </x:c>
      <x:c r="B13" s="1" t="n">
        <x:v>2025</x:v>
      </x:c>
      <x:c r="C13" s="1" t="str">
        <x:v>Container revenue</x:v>
      </x:c>
      <x:c r="D13" s="6" t="n">
        <x:v>72200000</x:v>
      </x:c>
      <x:c r="E13" s="1" t="str">
        <x:v>published $0.1m</x:v>
      </x:c>
      <x:c r="F13" s="1" t="str">
        <x:v>C01</x:v>
      </x:c>
      <x:c r="G13" s="1" t="str">
        <x:v>Container business revenue, not profit or per-TEU fee.</x:v>
      </x:c>
    </x:row>
    <x:row r="14" ht="21" customHeight="1">
      <x:c r="A14" s="1" t="str">
        <x:v>Conley</x:v>
      </x:c>
      <x:c r="B14" s="1" t="n">
        <x:v>2025</x:v>
      </x:c>
      <x:c r="C14" s="1" t="str">
        <x:v>Maritime O&amp;M expense</x:v>
      </x:c>
      <x:c r="D14" s="6" t="n">
        <x:v>79300000</x:v>
      </x:c>
      <x:c r="E14" s="1" t="str">
        <x:v>published $0.1m</x:v>
      </x:c>
      <x:c r="F14" s="1" t="str">
        <x:v>C01</x:v>
      </x:c>
      <x:c r="G14" s="1" t="str">
        <x:v>All Maritime businesses; not Conley-only expense.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5" hidden="0" customWidth="1"/>
    <x:col min="4" max="4" width="33" hidden="0" customWidth="1"/>
    <x:col min="5" max="5" width="15" hidden="0" customWidth="1"/>
    <x:col min="6" max="6" width="19" hidden="0" customWidth="1"/>
    <x:col min="7" max="7" width="13" hidden="0" customWidth="1"/>
    <x:col min="8" max="8" width="70" hidden="0" customWidth="1"/>
  </x:cols>
  <x:sheetData>
    <x:row r="1" ht="26" customHeight="1">
      <x:c r="A1" s="3" t="str">
        <x:v>port</x:v>
      </x:c>
      <x:c r="B1" s="3" t="str">
        <x:v>period</x:v>
      </x:c>
      <x:c r="C1" s="3" t="str">
        <x:v>subject</x:v>
      </x:c>
      <x:c r="D1" s="3" t="str">
        <x:v>metric</x:v>
      </x:c>
      <x:c r="E1" s="3" t="str">
        <x:v>value</x:v>
      </x:c>
      <x:c r="F1" s="3" t="str">
        <x:v>unit</x:v>
      </x:c>
      <x:c r="G1" s="3" t="str">
        <x:v>source_id</x:v>
      </x:c>
      <x:c r="H1" s="3" t="str">
        <x:v>interpretation</x:v>
      </x:c>
    </x:row>
    <x:row r="2" ht="21" customHeight="1">
      <x:c r="A2" s="1" t="str">
        <x:v>Guam</x:v>
      </x:c>
      <x:c r="B2" s="1" t="str">
        <x:v>FY2020</x:v>
      </x:c>
      <x:c r="C2" s="1" t="str">
        <x:v>All vessel calls</x:v>
      </x:c>
      <x:c r="D2" s="1" t="str">
        <x:v>count</x:v>
      </x:c>
      <x:c r="E2" s="5" t="n">
        <x:v>384</x:v>
      </x:c>
      <x:c r="F2" s="1" t="str">
        <x:v>calls</x:v>
      </x:c>
      <x:c r="G2" s="1" t="str">
        <x:v>G02</x:v>
      </x:c>
      <x:c r="H2" s="1" t="str">
        <x:v>Includes vessel types beyond container ships; cannot derive container arrival schedule.</x:v>
      </x:c>
    </x:row>
    <x:row r="3" ht="21" customHeight="1">
      <x:c r="A3" s="1" t="str">
        <x:v>Guam</x:v>
      </x:c>
      <x:c r="B3" s="1" t="str">
        <x:v>FY2021</x:v>
      </x:c>
      <x:c r="C3" s="1" t="str">
        <x:v>All vessel calls</x:v>
      </x:c>
      <x:c r="D3" s="1" t="str">
        <x:v>count</x:v>
      </x:c>
      <x:c r="E3" s="5" t="n">
        <x:v>319</x:v>
      </x:c>
      <x:c r="F3" s="1" t="str">
        <x:v>calls</x:v>
      </x:c>
      <x:c r="G3" s="1" t="str">
        <x:v>G02</x:v>
      </x:c>
      <x:c r="H3" s="1" t="str">
        <x:v>Includes vessel types beyond container ships; cannot derive container arrival schedule.</x:v>
      </x:c>
    </x:row>
    <x:row r="4" ht="21" customHeight="1">
      <x:c r="A4" s="1" t="str">
        <x:v>Guam</x:v>
      </x:c>
      <x:c r="B4" s="1" t="str">
        <x:v>FY2022</x:v>
      </x:c>
      <x:c r="C4" s="1" t="str">
        <x:v>All vessel calls</x:v>
      </x:c>
      <x:c r="D4" s="1" t="str">
        <x:v>count</x:v>
      </x:c>
      <x:c r="E4" s="5" t="n">
        <x:v>318</x:v>
      </x:c>
      <x:c r="F4" s="1" t="str">
        <x:v>calls</x:v>
      </x:c>
      <x:c r="G4" s="1" t="str">
        <x:v>G02</x:v>
      </x:c>
      <x:c r="H4" s="1" t="str">
        <x:v>Includes vessel types beyond container ships; cannot derive container arrival schedule.</x:v>
      </x:c>
    </x:row>
    <x:row r="5" ht="21" customHeight="1">
      <x:c r="A5" s="1" t="str">
        <x:v>Guam</x:v>
      </x:c>
      <x:c r="B5" s="1" t="str">
        <x:v>FY2023</x:v>
      </x:c>
      <x:c r="C5" s="1" t="str">
        <x:v>All vessel calls</x:v>
      </x:c>
      <x:c r="D5" s="1" t="str">
        <x:v>count</x:v>
      </x:c>
      <x:c r="E5" s="5" t="n">
        <x:v>281</x:v>
      </x:c>
      <x:c r="F5" s="1" t="str">
        <x:v>calls</x:v>
      </x:c>
      <x:c r="G5" s="1" t="str">
        <x:v>G02</x:v>
      </x:c>
      <x:c r="H5" s="1" t="str">
        <x:v>Includes vessel types beyond container ships; cannot derive container arrival schedule.</x:v>
      </x:c>
    </x:row>
    <x:row r="6" ht="21" customHeight="1">
      <x:c r="A6" s="1" t="str">
        <x:v>Guam</x:v>
      </x:c>
      <x:c r="B6" s="1" t="str">
        <x:v>FY2024</x:v>
      </x:c>
      <x:c r="C6" s="1" t="str">
        <x:v>All vessel calls</x:v>
      </x:c>
      <x:c r="D6" s="1" t="str">
        <x:v>count</x:v>
      </x:c>
      <x:c r="E6" s="5" t="n">
        <x:v>309</x:v>
      </x:c>
      <x:c r="F6" s="1" t="str">
        <x:v>calls</x:v>
      </x:c>
      <x:c r="G6" s="1" t="str">
        <x:v>G02</x:v>
      </x:c>
      <x:c r="H6" s="1" t="str">
        <x:v>Includes vessel types beyond container ships; cannot derive container arrival schedule.</x:v>
      </x:c>
    </x:row>
    <x:row r="7" ht="21" customHeight="1">
      <x:c r="A7" s="1" t="str">
        <x:v>Conley</x:v>
      </x:c>
      <x:c r="B7" s="1" t="str">
        <x:v>Reported 2025</x:v>
      </x:c>
      <x:c r="C7" s="1" t="str">
        <x:v>Deep-water berths</x:v>
      </x:c>
      <x:c r="D7" s="1" t="str">
        <x:v>number</x:v>
      </x:c>
      <x:c r="E7" s="5" t="n">
        <x:v>2</x:v>
      </x:c>
      <x:c r="F7" s="1" t="str">
        <x:v>berths</x:v>
      </x:c>
      <x:c r="G7" s="1" t="str">
        <x:v>C02</x:v>
      </x:c>
      <x:c r="H7" s="1" t="str">
        <x:v>Two modernized 50-ft berths; check operational availability separately.</x:v>
      </x:c>
    </x:row>
    <x:row r="8" ht="21" customHeight="1">
      <x:c r="A8" s="1" t="str">
        <x:v>Conley</x:v>
      </x:c>
      <x:c r="B8" s="1" t="str">
        <x:v>Reported 2025</x:v>
      </x:c>
      <x:c r="C8" s="1" t="str">
        <x:v>Deep-water berth depth</x:v>
      </x:c>
      <x:c r="D8" s="1" t="str">
        <x:v>design</x:v>
      </x:c>
      <x:c r="E8" s="5" t="n">
        <x:v>50</x:v>
      </x:c>
      <x:c r="F8" s="1" t="str">
        <x:v>feet</x:v>
      </x:c>
      <x:c r="G8" s="1" t="str">
        <x:v>C02</x:v>
      </x:c>
      <x:c r="H8" s="1" t="str">
        <x:v>Published project configuration, not measured tide-adjusted vessel clearance.</x:v>
      </x:c>
    </x:row>
    <x:row r="9" ht="21" customHeight="1">
      <x:c r="A9" s="1" t="str">
        <x:v>Conley</x:v>
      </x:c>
      <x:c r="B9" s="1" t="str">
        <x:v>Commissioned 2021</x:v>
      </x:c>
      <x:c r="C9" s="1" t="str">
        <x:v>New STS cranes</x:v>
      </x:c>
      <x:c r="D9" s="1" t="str">
        <x:v>number</x:v>
      </x:c>
      <x:c r="E9" s="5" t="n">
        <x:v>3</x:v>
      </x:c>
      <x:c r="F9" s="1" t="str">
        <x:v>cranes</x:v>
      </x:c>
      <x:c r="G9" s="1" t="str">
        <x:v>C02</x:v>
      </x:c>
      <x:c r="H9" s="1" t="str">
        <x:v>Published project installation, not concurrent staffed cranes.</x:v>
      </x:c>
    </x:row>
    <x:row r="10" ht="21" customHeight="1">
      <x:c r="A10" s="1" t="str">
        <x:v>Conley</x:v>
      </x:c>
      <x:c r="B10" s="1" t="str">
        <x:v>Reported 2025</x:v>
      </x:c>
      <x:c r="C10" s="1" t="str">
        <x:v>Served vessel design capacity</x:v>
      </x:c>
      <x:c r="D10" s="1" t="str">
        <x:v>published class</x:v>
      </x:c>
      <x:c r="E10" s="5" t="n">
        <x:v>15000</x:v>
      </x:c>
      <x:c r="F10" s="1" t="str">
        <x:v>TEU/vessel</x:v>
      </x:c>
      <x:c r="G10" s="1" t="str">
        <x:v>C02</x:v>
      </x:c>
      <x:c r="H10" s="1" t="str">
        <x:v>Published vessel capacity; NOT a reported load/unload volume per call.</x:v>
      </x:c>
    </x:row>
    <x:row r="11" ht="21" customHeight="1">
      <x:c r="A11" s="1" t="str">
        <x:v>Guam</x:v>
      </x:c>
      <x:c r="B11" s="1" t="str">
        <x:v>FY2025 report</x:v>
      </x:c>
      <x:c r="C11" s="1" t="str">
        <x:v>Aging cranes to replace</x:v>
      </x:c>
      <x:c r="D11" s="1" t="str">
        <x:v>project scope</x:v>
      </x:c>
      <x:c r="E11" s="5" t="n">
        <x:v>3</x:v>
      </x:c>
      <x:c r="F11" s="1" t="str">
        <x:v>cranes</x:v>
      </x:c>
      <x:c r="G11" s="1" t="str">
        <x:v>G04</x:v>
      </x:c>
      <x:c r="H11" s="1" t="str">
        <x:v>Project scope; do not assume all three are always available.</x:v>
      </x:c>
    </x:row>
    <x:row r="12" ht="21" customHeight="1">
      <x:c r="A12" s="1" t="str">
        <x:v>Guam</x:v>
      </x:c>
      <x:c r="B12" s="1" t="str">
        <x:v>FY2017-18</x:v>
      </x:c>
      <x:c r="C12" s="1" t="str">
        <x:v>MATSON</x:v>
      </x:c>
      <x:c r="D12" s="1" t="str">
        <x:v>Cargo vessel berth hours</x:v>
      </x:c>
      <x:c r="E12" s="5" t="n">
        <x:v>34</x:v>
      </x:c>
      <x:c r="F12" s="1" t="str">
        <x:v>hours/call</x:v>
      </x:c>
      <x:c r="G12" s="1" t="str">
        <x:v>G06</x:v>
      </x:c>
      <x:c r="H12" s="1" t="str">
        <x:v>Published shipping-agent summary across a two-year period.</x:v>
      </x:c>
    </x:row>
    <x:row r="13" ht="21" customHeight="1">
      <x:c r="A13" s="1" t="str">
        <x:v>Guam</x:v>
      </x:c>
      <x:c r="B13" s="1" t="str">
        <x:v>FY2017-18</x:v>
      </x:c>
      <x:c r="C13" s="1" t="str">
        <x:v>MATSON</x:v>
      </x:c>
      <x:c r="D13" s="1" t="str">
        <x:v>Container vessel net moves</x:v>
      </x:c>
      <x:c r="E13" s="5" t="n">
        <x:v>21</x:v>
      </x:c>
      <x:c r="F13" s="1" t="str">
        <x:v>moves/hour</x:v>
      </x:c>
      <x:c r="G13" s="1" t="str">
        <x:v>G06</x:v>
      </x:c>
      <x:c r="H13" s="1" t="str">
        <x:v>Published vessel net moves/hour; not per-crane rate or yard work.</x:v>
      </x:c>
    </x:row>
    <x:row r="14" ht="21" customHeight="1">
      <x:c r="A14" s="1" t="str">
        <x:v>Guam</x:v>
      </x:c>
      <x:c r="B14" s="1" t="str">
        <x:v>FY2019-20</x:v>
      </x:c>
      <x:c r="C14" s="1" t="str">
        <x:v>MATSON</x:v>
      </x:c>
      <x:c r="D14" s="1" t="str">
        <x:v>Cargo vessel berth hours</x:v>
      </x:c>
      <x:c r="E14" s="5" t="n">
        <x:v>25</x:v>
      </x:c>
      <x:c r="F14" s="1" t="str">
        <x:v>hours/call</x:v>
      </x:c>
      <x:c r="G14" s="1" t="str">
        <x:v>G06</x:v>
      </x:c>
      <x:c r="H14" s="1" t="str">
        <x:v>Published shipping-agent summary across a two-year period.</x:v>
      </x:c>
    </x:row>
    <x:row r="15" ht="21" customHeight="1">
      <x:c r="A15" s="1" t="str">
        <x:v>Guam</x:v>
      </x:c>
      <x:c r="B15" s="1" t="str">
        <x:v>FY2019-20</x:v>
      </x:c>
      <x:c r="C15" s="1" t="str">
        <x:v>MATSON</x:v>
      </x:c>
      <x:c r="D15" s="1" t="str">
        <x:v>Container vessel net moves</x:v>
      </x:c>
      <x:c r="E15" s="5" t="n">
        <x:v>26</x:v>
      </x:c>
      <x:c r="F15" s="1" t="str">
        <x:v>moves/hour</x:v>
      </x:c>
      <x:c r="G15" s="1" t="str">
        <x:v>G06</x:v>
      </x:c>
      <x:c r="H15" s="1" t="str">
        <x:v>Published vessel net moves/hour; not per-crane rate or yard work.</x:v>
      </x:c>
    </x:row>
    <x:row r="16" ht="21" customHeight="1">
      <x:c r="A16" s="1" t="str">
        <x:v>Guam</x:v>
      </x:c>
      <x:c r="B16" s="1" t="str">
        <x:v>FY2021-22</x:v>
      </x:c>
      <x:c r="C16" s="1" t="str">
        <x:v>MATSON</x:v>
      </x:c>
      <x:c r="D16" s="1" t="str">
        <x:v>Cargo vessel berth hours</x:v>
      </x:c>
      <x:c r="E16" s="5" t="n">
        <x:v>25</x:v>
      </x:c>
      <x:c r="F16" s="1" t="str">
        <x:v>hours/call</x:v>
      </x:c>
      <x:c r="G16" s="1" t="str">
        <x:v>G06</x:v>
      </x:c>
      <x:c r="H16" s="1" t="str">
        <x:v>Published shipping-agent summary across a two-year period.</x:v>
      </x:c>
    </x:row>
    <x:row r="17" ht="21" customHeight="1">
      <x:c r="A17" s="1" t="str">
        <x:v>Guam</x:v>
      </x:c>
      <x:c r="B17" s="1" t="str">
        <x:v>FY2021-22</x:v>
      </x:c>
      <x:c r="C17" s="1" t="str">
        <x:v>MATSON</x:v>
      </x:c>
      <x:c r="D17" s="1" t="str">
        <x:v>Container vessel net moves</x:v>
      </x:c>
      <x:c r="E17" s="5" t="n">
        <x:v>25</x:v>
      </x:c>
      <x:c r="F17" s="1" t="str">
        <x:v>moves/hour</x:v>
      </x:c>
      <x:c r="G17" s="1" t="str">
        <x:v>G06</x:v>
      </x:c>
      <x:c r="H17" s="1" t="str">
        <x:v>Published vessel net moves/hour; not per-crane rate or yard work.</x:v>
      </x:c>
    </x:row>
    <x:row r="18" ht="21" customHeight="1">
      <x:c r="A18" s="1" t="str">
        <x:v>Guam</x:v>
      </x:c>
      <x:c r="B18" s="1" t="str">
        <x:v>FY2023-24</x:v>
      </x:c>
      <x:c r="C18" s="1" t="str">
        <x:v>MATSON</x:v>
      </x:c>
      <x:c r="D18" s="1" t="str">
        <x:v>Cargo vessel berth hours</x:v>
      </x:c>
      <x:c r="E18" s="5" t="n">
        <x:v>25</x:v>
      </x:c>
      <x:c r="F18" s="1" t="str">
        <x:v>hours/call</x:v>
      </x:c>
      <x:c r="G18" s="1" t="str">
        <x:v>G06</x:v>
      </x:c>
      <x:c r="H18" s="1" t="str">
        <x:v>Published shipping-agent summary across a two-year period.</x:v>
      </x:c>
    </x:row>
    <x:row r="19" ht="21" customHeight="1">
      <x:c r="A19" s="1" t="str">
        <x:v>Guam</x:v>
      </x:c>
      <x:c r="B19" s="1" t="str">
        <x:v>FY2023-24</x:v>
      </x:c>
      <x:c r="C19" s="1" t="str">
        <x:v>MATSON</x:v>
      </x:c>
      <x:c r="D19" s="1" t="str">
        <x:v>Container vessel net moves</x:v>
      </x:c>
      <x:c r="E19" s="5" t="n">
        <x:v>25</x:v>
      </x:c>
      <x:c r="F19" s="1" t="str">
        <x:v>moves/hour</x:v>
      </x:c>
      <x:c r="G19" s="1" t="str">
        <x:v>G06</x:v>
      </x:c>
      <x:c r="H19" s="1" t="str">
        <x:v>Published vessel net moves/hour; not per-crane rate or yard work.</x:v>
      </x:c>
    </x:row>
    <x:row r="20" ht="21" customHeight="1">
      <x:c r="A20" s="1" t="str">
        <x:v>Guam</x:v>
      </x:c>
      <x:c r="B20" s="1" t="str">
        <x:v>FY2017-18</x:v>
      </x:c>
      <x:c r="C20" s="1" t="str">
        <x:v>APL</x:v>
      </x:c>
      <x:c r="D20" s="1" t="str">
        <x:v>Cargo vessel berth hours</x:v>
      </x:c>
      <x:c r="E20" s="5" t="n">
        <x:v>26</x:v>
      </x:c>
      <x:c r="F20" s="1" t="str">
        <x:v>hours/call</x:v>
      </x:c>
      <x:c r="G20" s="1" t="str">
        <x:v>G06</x:v>
      </x:c>
      <x:c r="H20" s="1" t="str">
        <x:v>Published shipping-agent summary across a two-year period.</x:v>
      </x:c>
    </x:row>
    <x:row r="21" ht="21" customHeight="1">
      <x:c r="A21" s="1" t="str">
        <x:v>Guam</x:v>
      </x:c>
      <x:c r="B21" s="1" t="str">
        <x:v>FY2017-18</x:v>
      </x:c>
      <x:c r="C21" s="1" t="str">
        <x:v>APL</x:v>
      </x:c>
      <x:c r="D21" s="1" t="str">
        <x:v>Container vessel net moves</x:v>
      </x:c>
      <x:c r="E21" s="5" t="n">
        <x:v>17</x:v>
      </x:c>
      <x:c r="F21" s="1" t="str">
        <x:v>moves/hour</x:v>
      </x:c>
      <x:c r="G21" s="1" t="str">
        <x:v>G06</x:v>
      </x:c>
      <x:c r="H21" s="1" t="str">
        <x:v>Published vessel net moves/hour; not per-crane rate or yard work.</x:v>
      </x:c>
    </x:row>
    <x:row r="22" ht="21" customHeight="1">
      <x:c r="A22" s="1" t="str">
        <x:v>Guam</x:v>
      </x:c>
      <x:c r="B22" s="1" t="str">
        <x:v>FY2019-20</x:v>
      </x:c>
      <x:c r="C22" s="1" t="str">
        <x:v>APL</x:v>
      </x:c>
      <x:c r="D22" s="1" t="str">
        <x:v>Cargo vessel berth hours</x:v>
      </x:c>
      <x:c r="E22" s="5" t="n">
        <x:v>22</x:v>
      </x:c>
      <x:c r="F22" s="1" t="str">
        <x:v>hours/call</x:v>
      </x:c>
      <x:c r="G22" s="1" t="str">
        <x:v>G06</x:v>
      </x:c>
      <x:c r="H22" s="1" t="str">
        <x:v>Published shipping-agent summary across a two-year period.</x:v>
      </x:c>
    </x:row>
    <x:row r="23" ht="21" customHeight="1">
      <x:c r="A23" s="1" t="str">
        <x:v>Guam</x:v>
      </x:c>
      <x:c r="B23" s="1" t="str">
        <x:v>FY2019-20</x:v>
      </x:c>
      <x:c r="C23" s="1" t="str">
        <x:v>APL</x:v>
      </x:c>
      <x:c r="D23" s="1" t="str">
        <x:v>Container vessel net moves</x:v>
      </x:c>
      <x:c r="E23" s="5" t="n">
        <x:v>24</x:v>
      </x:c>
      <x:c r="F23" s="1" t="str">
        <x:v>moves/hour</x:v>
      </x:c>
      <x:c r="G23" s="1" t="str">
        <x:v>G06</x:v>
      </x:c>
      <x:c r="H23" s="1" t="str">
        <x:v>Published vessel net moves/hour; not per-crane rate or yard work.</x:v>
      </x:c>
    </x:row>
    <x:row r="24" ht="21" customHeight="1">
      <x:c r="A24" s="1" t="str">
        <x:v>Guam</x:v>
      </x:c>
      <x:c r="B24" s="1" t="str">
        <x:v>FY2021-22</x:v>
      </x:c>
      <x:c r="C24" s="1" t="str">
        <x:v>APL</x:v>
      </x:c>
      <x:c r="D24" s="1" t="str">
        <x:v>Cargo vessel berth hours</x:v>
      </x:c>
      <x:c r="E24" s="5" t="n">
        <x:v>23</x:v>
      </x:c>
      <x:c r="F24" s="1" t="str">
        <x:v>hours/call</x:v>
      </x:c>
      <x:c r="G24" s="1" t="str">
        <x:v>G06</x:v>
      </x:c>
      <x:c r="H24" s="1" t="str">
        <x:v>Published shipping-agent summary across a two-year period.</x:v>
      </x:c>
    </x:row>
    <x:row r="25" ht="21" customHeight="1">
      <x:c r="A25" s="1" t="str">
        <x:v>Guam</x:v>
      </x:c>
      <x:c r="B25" s="1" t="str">
        <x:v>FY2021-22</x:v>
      </x:c>
      <x:c r="C25" s="1" t="str">
        <x:v>APL</x:v>
      </x:c>
      <x:c r="D25" s="1" t="str">
        <x:v>Container vessel net moves</x:v>
      </x:c>
      <x:c r="E25" s="5" t="n">
        <x:v>22</x:v>
      </x:c>
      <x:c r="F25" s="1" t="str">
        <x:v>moves/hour</x:v>
      </x:c>
      <x:c r="G25" s="1" t="str">
        <x:v>G06</x:v>
      </x:c>
      <x:c r="H25" s="1" t="str">
        <x:v>Published vessel net moves/hour; not per-crane rate or yard work.</x:v>
      </x:c>
    </x:row>
    <x:row r="26" ht="21" customHeight="1">
      <x:c r="A26" s="1" t="str">
        <x:v>Guam</x:v>
      </x:c>
      <x:c r="B26" s="1" t="str">
        <x:v>FY2023-24</x:v>
      </x:c>
      <x:c r="C26" s="1" t="str">
        <x:v>APL</x:v>
      </x:c>
      <x:c r="D26" s="1" t="str">
        <x:v>Cargo vessel berth hours</x:v>
      </x:c>
      <x:c r="E26" s="5" t="n">
        <x:v>24</x:v>
      </x:c>
      <x:c r="F26" s="1" t="str">
        <x:v>hours/call</x:v>
      </x:c>
      <x:c r="G26" s="1" t="str">
        <x:v>G06</x:v>
      </x:c>
      <x:c r="H26" s="1" t="str">
        <x:v>Published shipping-agent summary across a two-year period.</x:v>
      </x:c>
    </x:row>
    <x:row r="27" ht="21" customHeight="1">
      <x:c r="A27" s="1" t="str">
        <x:v>Guam</x:v>
      </x:c>
      <x:c r="B27" s="1" t="str">
        <x:v>FY2023-24</x:v>
      </x:c>
      <x:c r="C27" s="1" t="str">
        <x:v>APL</x:v>
      </x:c>
      <x:c r="D27" s="1" t="str">
        <x:v>Container vessel net moves</x:v>
      </x:c>
      <x:c r="E27" s="5" t="n">
        <x:v>26</x:v>
      </x:c>
      <x:c r="F27" s="1" t="str">
        <x:v>moves/hour</x:v>
      </x:c>
      <x:c r="G27" s="1" t="str">
        <x:v>G06</x:v>
      </x:c>
      <x:c r="H27" s="1" t="str">
        <x:v>Published vessel net moves/hour; not per-crane rate or yard work.</x:v>
      </x:c>
    </x:row>
    <x:row r="28" ht="21" customHeight="1">
      <x:c r="A28" s="1" t="str">
        <x:v>Guam</x:v>
      </x:c>
      <x:c r="B28" s="1" t="str">
        <x:v>FY2017-18</x:v>
      </x:c>
      <x:c r="C28" s="1" t="str">
        <x:v>CTSI</x:v>
      </x:c>
      <x:c r="D28" s="1" t="str">
        <x:v>Cargo vessel berth hours</x:v>
      </x:c>
      <x:c r="E28" s="5" t="n">
        <x:v>15</x:v>
      </x:c>
      <x:c r="F28" s="1" t="str">
        <x:v>hours/call</x:v>
      </x:c>
      <x:c r="G28" s="1" t="str">
        <x:v>G06</x:v>
      </x:c>
      <x:c r="H28" s="1" t="str">
        <x:v>Published shipping-agent summary across a two-year period.</x:v>
      </x:c>
    </x:row>
    <x:row r="29" ht="21" customHeight="1">
      <x:c r="A29" s="1" t="str">
        <x:v>Guam</x:v>
      </x:c>
      <x:c r="B29" s="1" t="str">
        <x:v>FY2017-18</x:v>
      </x:c>
      <x:c r="C29" s="1" t="str">
        <x:v>CTSI</x:v>
      </x:c>
      <x:c r="D29" s="1" t="str">
        <x:v>Container vessel net moves</x:v>
      </x:c>
      <x:c r="E29" s="5" t="n">
        <x:v>16</x:v>
      </x:c>
      <x:c r="F29" s="1" t="str">
        <x:v>moves/hour</x:v>
      </x:c>
      <x:c r="G29" s="1" t="str">
        <x:v>G06</x:v>
      </x:c>
      <x:c r="H29" s="1" t="str">
        <x:v>Published vessel net moves/hour; not per-crane rate or yard work.</x:v>
      </x:c>
    </x:row>
    <x:row r="30" ht="21" customHeight="1">
      <x:c r="A30" s="1" t="str">
        <x:v>Guam</x:v>
      </x:c>
      <x:c r="B30" s="1" t="str">
        <x:v>FY2019-20</x:v>
      </x:c>
      <x:c r="C30" s="1" t="str">
        <x:v>CTSI</x:v>
      </x:c>
      <x:c r="D30" s="1" t="str">
        <x:v>Cargo vessel berth hours</x:v>
      </x:c>
      <x:c r="E30" s="5" t="n">
        <x:v>18</x:v>
      </x:c>
      <x:c r="F30" s="1" t="str">
        <x:v>hours/call</x:v>
      </x:c>
      <x:c r="G30" s="1" t="str">
        <x:v>G06</x:v>
      </x:c>
      <x:c r="H30" s="1" t="str">
        <x:v>Published shipping-agent summary across a two-year period.</x:v>
      </x:c>
    </x:row>
    <x:row r="31" ht="21" customHeight="1">
      <x:c r="A31" s="1" t="str">
        <x:v>Guam</x:v>
      </x:c>
      <x:c r="B31" s="1" t="str">
        <x:v>FY2019-20</x:v>
      </x:c>
      <x:c r="C31" s="1" t="str">
        <x:v>CTSI</x:v>
      </x:c>
      <x:c r="D31" s="1" t="str">
        <x:v>Container vessel net moves</x:v>
      </x:c>
      <x:c r="E31" s="5" t="n">
        <x:v>22</x:v>
      </x:c>
      <x:c r="F31" s="1" t="str">
        <x:v>moves/hour</x:v>
      </x:c>
      <x:c r="G31" s="1" t="str">
        <x:v>G06</x:v>
      </x:c>
      <x:c r="H31" s="1" t="str">
        <x:v>Published vessel net moves/hour; not per-crane rate or yard work.</x:v>
      </x:c>
    </x:row>
    <x:row r="32" ht="21" customHeight="1">
      <x:c r="A32" s="1" t="str">
        <x:v>Guam</x:v>
      </x:c>
      <x:c r="B32" s="1" t="str">
        <x:v>FY2021-22</x:v>
      </x:c>
      <x:c r="C32" s="1" t="str">
        <x:v>CTSI</x:v>
      </x:c>
      <x:c r="D32" s="1" t="str">
        <x:v>Cargo vessel berth hours</x:v>
      </x:c>
      <x:c r="E32" s="5" t="n">
        <x:v>17</x:v>
      </x:c>
      <x:c r="F32" s="1" t="str">
        <x:v>hours/call</x:v>
      </x:c>
      <x:c r="G32" s="1" t="str">
        <x:v>G06</x:v>
      </x:c>
      <x:c r="H32" s="1" t="str">
        <x:v>Published shipping-agent summary across a two-year period.</x:v>
      </x:c>
    </x:row>
    <x:row r="33" ht="21" customHeight="1">
      <x:c r="A33" s="1" t="str">
        <x:v>Guam</x:v>
      </x:c>
      <x:c r="B33" s="1" t="str">
        <x:v>FY2021-22</x:v>
      </x:c>
      <x:c r="C33" s="1" t="str">
        <x:v>CTSI</x:v>
      </x:c>
      <x:c r="D33" s="1" t="str">
        <x:v>Container vessel net moves</x:v>
      </x:c>
      <x:c r="E33" s="5" t="n">
        <x:v>22</x:v>
      </x:c>
      <x:c r="F33" s="1" t="str">
        <x:v>moves/hour</x:v>
      </x:c>
      <x:c r="G33" s="1" t="str">
        <x:v>G06</x:v>
      </x:c>
      <x:c r="H33" s="1" t="str">
        <x:v>Published vessel net moves/hour; not per-crane rate or yard work.</x:v>
      </x:c>
    </x:row>
    <x:row r="34" ht="21" customHeight="1">
      <x:c r="A34" s="1" t="str">
        <x:v>Guam</x:v>
      </x:c>
      <x:c r="B34" s="1" t="str">
        <x:v>FY2023-24</x:v>
      </x:c>
      <x:c r="C34" s="1" t="str">
        <x:v>CTSI</x:v>
      </x:c>
      <x:c r="D34" s="1" t="str">
        <x:v>Cargo vessel berth hours</x:v>
      </x:c>
      <x:c r="E34" s="5" t="n">
        <x:v>19</x:v>
      </x:c>
      <x:c r="F34" s="1" t="str">
        <x:v>hours/call</x:v>
      </x:c>
      <x:c r="G34" s="1" t="str">
        <x:v>G06</x:v>
      </x:c>
      <x:c r="H34" s="1" t="str">
        <x:v>Published shipping-agent summary across a two-year period.</x:v>
      </x:c>
    </x:row>
    <x:row r="35" ht="21" customHeight="1">
      <x:c r="A35" s="1" t="str">
        <x:v>Guam</x:v>
      </x:c>
      <x:c r="B35" s="1" t="str">
        <x:v>FY2023-24</x:v>
      </x:c>
      <x:c r="C35" s="1" t="str">
        <x:v>CTSI</x:v>
      </x:c>
      <x:c r="D35" s="1" t="str">
        <x:v>Container vessel net moves</x:v>
      </x:c>
      <x:c r="E35" s="5" t="n">
        <x:v>23</x:v>
      </x:c>
      <x:c r="F35" s="1" t="str">
        <x:v>moves/hour</x:v>
      </x:c>
      <x:c r="G35" s="1" t="str">
        <x:v>G06</x:v>
      </x:c>
      <x:c r="H35" s="1" t="str">
        <x:v>Published vessel net moves/hour; not per-crane rate or yard work.</x:v>
      </x:c>
    </x:row>
    <x:row r="36" ht="21" customHeight="1">
      <x:c r="A36" s="1" t="str">
        <x:v>Guam</x:v>
      </x:c>
      <x:c r="B36" s="1" t="str">
        <x:v>FY2017-18</x:v>
      </x:c>
      <x:c r="C36" s="1" t="str">
        <x:v>MSA KYOWA</x:v>
      </x:c>
      <x:c r="D36" s="1" t="str">
        <x:v>Cargo vessel berth hours</x:v>
      </x:c>
      <x:c r="E36" s="5" t="n">
        <x:v>44</x:v>
      </x:c>
      <x:c r="F36" s="1" t="str">
        <x:v>hours/call</x:v>
      </x:c>
      <x:c r="G36" s="1" t="str">
        <x:v>G06</x:v>
      </x:c>
      <x:c r="H36" s="1" t="str">
        <x:v>Published shipping-agent summary across a two-year period.</x:v>
      </x:c>
    </x:row>
    <x:row r="37" ht="21" customHeight="1">
      <x:c r="A37" s="1" t="str">
        <x:v>Guam</x:v>
      </x:c>
      <x:c r="B37" s="1" t="str">
        <x:v>FY2017-18</x:v>
      </x:c>
      <x:c r="C37" s="1" t="str">
        <x:v>MSA KYOWA</x:v>
      </x:c>
      <x:c r="D37" s="1" t="str">
        <x:v>Container vessel net moves</x:v>
      </x:c>
      <x:c r="E37" s="5" t="n">
        <x:v>12</x:v>
      </x:c>
      <x:c r="F37" s="1" t="str">
        <x:v>moves/hour</x:v>
      </x:c>
      <x:c r="G37" s="1" t="str">
        <x:v>G06</x:v>
      </x:c>
      <x:c r="H37" s="1" t="str">
        <x:v>Published vessel net moves/hour; not per-crane rate or yard work.</x:v>
      </x:c>
    </x:row>
    <x:row r="38" ht="21" customHeight="1">
      <x:c r="A38" s="1" t="str">
        <x:v>Guam</x:v>
      </x:c>
      <x:c r="B38" s="1" t="str">
        <x:v>FY2019-20</x:v>
      </x:c>
      <x:c r="C38" s="1" t="str">
        <x:v>MSA KYOWA</x:v>
      </x:c>
      <x:c r="D38" s="1" t="str">
        <x:v>Cargo vessel berth hours</x:v>
      </x:c>
      <x:c r="E38" s="5" t="n">
        <x:v>31</x:v>
      </x:c>
      <x:c r="F38" s="1" t="str">
        <x:v>hours/call</x:v>
      </x:c>
      <x:c r="G38" s="1" t="str">
        <x:v>G06</x:v>
      </x:c>
      <x:c r="H38" s="1" t="str">
        <x:v>Published shipping-agent summary across a two-year period.</x:v>
      </x:c>
    </x:row>
    <x:row r="39" ht="21" customHeight="1">
      <x:c r="A39" s="1" t="str">
        <x:v>Guam</x:v>
      </x:c>
      <x:c r="B39" s="1" t="str">
        <x:v>FY2019-20</x:v>
      </x:c>
      <x:c r="C39" s="1" t="str">
        <x:v>MSA KYOWA</x:v>
      </x:c>
      <x:c r="D39" s="1" t="str">
        <x:v>Container vessel net moves</x:v>
      </x:c>
      <x:c r="E39" s="5" t="n">
        <x:v>18</x:v>
      </x:c>
      <x:c r="F39" s="1" t="str">
        <x:v>moves/hour</x:v>
      </x:c>
      <x:c r="G39" s="1" t="str">
        <x:v>G06</x:v>
      </x:c>
      <x:c r="H39" s="1" t="str">
        <x:v>Published vessel net moves/hour; not per-crane rate or yard work.</x:v>
      </x:c>
    </x:row>
    <x:row r="40" ht="21" customHeight="1">
      <x:c r="A40" s="1" t="str">
        <x:v>Guam</x:v>
      </x:c>
      <x:c r="B40" s="1" t="str">
        <x:v>FY2021-22</x:v>
      </x:c>
      <x:c r="C40" s="1" t="str">
        <x:v>MSA KYOWA</x:v>
      </x:c>
      <x:c r="D40" s="1" t="str">
        <x:v>Cargo vessel berth hours</x:v>
      </x:c>
      <x:c r="E40" s="5" t="n">
        <x:v>37</x:v>
      </x:c>
      <x:c r="F40" s="1" t="str">
        <x:v>hours/call</x:v>
      </x:c>
      <x:c r="G40" s="1" t="str">
        <x:v>G06</x:v>
      </x:c>
      <x:c r="H40" s="1" t="str">
        <x:v>Published shipping-agent summary across a two-year period.</x:v>
      </x:c>
    </x:row>
    <x:row r="41" ht="21" customHeight="1">
      <x:c r="A41" s="1" t="str">
        <x:v>Guam</x:v>
      </x:c>
      <x:c r="B41" s="1" t="str">
        <x:v>FY2021-22</x:v>
      </x:c>
      <x:c r="C41" s="1" t="str">
        <x:v>MSA KYOWA</x:v>
      </x:c>
      <x:c r="D41" s="1" t="str">
        <x:v>Container vessel net moves</x:v>
      </x:c>
      <x:c r="E41" s="5" t="n">
        <x:v>17</x:v>
      </x:c>
      <x:c r="F41" s="1" t="str">
        <x:v>moves/hour</x:v>
      </x:c>
      <x:c r="G41" s="1" t="str">
        <x:v>G06</x:v>
      </x:c>
      <x:c r="H41" s="1" t="str">
        <x:v>Published vessel net moves/hour; not per-crane rate or yard work.</x:v>
      </x:c>
    </x:row>
    <x:row r="42" ht="21" customHeight="1">
      <x:c r="A42" s="1" t="str">
        <x:v>Guam</x:v>
      </x:c>
      <x:c r="B42" s="1" t="str">
        <x:v>FY2023-24</x:v>
      </x:c>
      <x:c r="C42" s="1" t="str">
        <x:v>MSA KYOWA</x:v>
      </x:c>
      <x:c r="D42" s="1" t="str">
        <x:v>Cargo vessel berth hours</x:v>
      </x:c>
      <x:c r="E42" s="5" t="n">
        <x:v>38</x:v>
      </x:c>
      <x:c r="F42" s="1" t="str">
        <x:v>hours/call</x:v>
      </x:c>
      <x:c r="G42" s="1" t="str">
        <x:v>G06</x:v>
      </x:c>
      <x:c r="H42" s="1" t="str">
        <x:v>Published shipping-agent summary across a two-year period.</x:v>
      </x:c>
    </x:row>
    <x:row r="43" ht="21" customHeight="1">
      <x:c r="A43" s="1" t="str">
        <x:v>Guam</x:v>
      </x:c>
      <x:c r="B43" s="1" t="str">
        <x:v>FY2023-24</x:v>
      </x:c>
      <x:c r="C43" s="1" t="str">
        <x:v>MSA KYOWA</x:v>
      </x:c>
      <x:c r="D43" s="1" t="str">
        <x:v>Container vessel net moves</x:v>
      </x:c>
      <x:c r="E43" s="5" t="n">
        <x:v>19</x:v>
      </x:c>
      <x:c r="F43" s="1" t="str">
        <x:v>moves/hour</x:v>
      </x:c>
      <x:c r="G43" s="1" t="str">
        <x:v>G06</x:v>
      </x:c>
      <x:c r="H43" s="1" t="str">
        <x:v>Published vessel net moves/hour; not per-crane rate or yard work.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6" hidden="0" customWidth="1"/>
    <x:col min="3" max="3" width="21" hidden="0" customWidth="1"/>
    <x:col min="4" max="4" width="25" hidden="0" customWidth="1"/>
    <x:col min="5" max="5" width="86" hidden="0" customWidth="1"/>
  </x:cols>
  <x:sheetData>
    <x:row r="1" ht="26" customHeight="1">
      <x:c r="A1" s="3" t="str">
        <x:v>Arrivals column</x:v>
      </x:c>
      <x:c r="B1" s="3" t="str">
        <x:v>AnyLogic field</x:v>
      </x:c>
      <x:c r="C1" s="3" t="str">
        <x:v>Expected type</x:v>
      </x:c>
      <x:c r="D1" s="3" t="str">
        <x:v>Available as actual?</x:v>
      </x:c>
      <x:c r="E1" s="3" t="str">
        <x:v>Finding</x:v>
      </x:c>
    </x:row>
    <x:row r="2" ht="21" customHeight="1">
      <x:c r="A2" s="1" t="n">
        <x:v>1</x:v>
      </x:c>
      <x:c r="B2" s="1" t="str">
        <x:v>VesselID</x:v>
      </x:c>
      <x:c r="C2" s="1" t="str">
        <x:v>text</x:v>
      </x:c>
      <x:c r="D2" s="1" t="str">
        <x:v>NO</x:v>
      </x:c>
      <x:c r="E2" s="1" t="str">
        <x:v>Actual vessel-by-vessel identifiers for Guam and Conley not assembled.</x:v>
      </x:c>
    </x:row>
    <x:row r="3" ht="21" customHeight="1">
      <x:c r="A3" s="1" t="n">
        <x:v>2</x:v>
      </x:c>
      <x:c r="B3" s="1" t="str">
        <x:v>ETA_RealHours</x:v>
      </x:c>
      <x:c r="C3" s="1" t="str">
        <x:v>numeric hours</x:v>
      </x:c>
      <x:c r="D3" s="1" t="str">
        <x:v>NO</x:v>
      </x:c>
      <x:c r="E3" s="1" t="str">
        <x:v>Annual totals cannot yield actual arrival times.</x:v>
      </x:c>
    </x:row>
    <x:row r="4" ht="21" customHeight="1">
      <x:c r="A4" s="1" t="n">
        <x:v>3</x:v>
      </x:c>
      <x:c r="B4" s="1" t="str">
        <x:v>ImportContainers</x:v>
      </x:c>
      <x:c r="C4" s="1" t="str">
        <x:v>integer boxes</x:v>
      </x:c>
      <x:c r="D4" s="1" t="str">
        <x:v>NO</x:v>
      </x:c>
      <x:c r="E4" s="1" t="str">
        <x:v>Annual boxes do not establish imports per vessel.</x:v>
      </x:c>
    </x:row>
    <x:row r="5" ht="21" customHeight="1">
      <x:c r="A5" s="1" t="n">
        <x:v>4</x:v>
      </x:c>
      <x:c r="B5" s="1" t="str">
        <x:v>ExportContainers</x:v>
      </x:c>
      <x:c r="C5" s="1" t="str">
        <x:v>integer boxes</x:v>
      </x:c>
      <x:c r="D5" s="1" t="str">
        <x:v>NO</x:v>
      </x:c>
      <x:c r="E5" s="1" t="str">
        <x:v>Annual boxes do not establish exports per vessel.</x:v>
      </x:c>
    </x:row>
    <x:row r="6" ht="21" customHeight="1">
      <x:c r="A6" s="1" t="n">
        <x:v>5</x:v>
      </x:c>
      <x:c r="B6" s="1" t="str">
        <x:v>Priority</x:v>
      </x:c>
      <x:c r="C6" s="1" t="str">
        <x:v>integer</x:v>
      </x:c>
      <x:c r="D6" s="1" t="str">
        <x:v>NO</x:v>
      </x:c>
      <x:c r="E6" s="1" t="str">
        <x:v>Historical policy priority by vessel not available here.</x:v>
      </x:c>
    </x:row>
    <x:row r="7" ht="21" customHeight="1">
      <x:c r="A7" s="1" t="n">
        <x:v>6</x:v>
      </x:c>
      <x:c r="B7" s="1" t="str">
        <x:v>VesselClass</x:v>
      </x:c>
      <x:c r="C7" s="1" t="str">
        <x:v>text</x:v>
      </x:c>
      <x:c r="D7" s="1" t="str">
        <x:v>NO</x:v>
      </x:c>
      <x:c r="E7" s="1" t="str">
        <x:v>Feeder/Small/Coastal in old workbook are examples.</x:v>
      </x:c>
    </x:row>
    <x:row r="8" ht="21" customHeight="1">
      <x:c r="A8" s="1" t="n">
        <x:v>7</x:v>
      </x:c>
      <x:c r="B8" s="1" t="str">
        <x:v>ExpectedDepartureRealHour</x:v>
      </x:c>
      <x:c r="C8" s="1" t="str">
        <x:v>numeric hours</x:v>
      </x:c>
      <x:c r="D8" s="1" t="str">
        <x:v>NO</x:v>
      </x:c>
      <x:c r="E8" s="1" t="str">
        <x:v>Actual scheduled departure by vessel not assembled.</x:v>
      </x:c>
    </x:row>
    <x:row r="9" ht="21" customHeight="1">
      <x:c r="A9" s="1" t="n">
        <x:v>8</x:v>
      </x:c>
      <x:c r="B9" s="1" t="str">
        <x:v>PlannedPortStayRealHours</x:v>
      </x:c>
      <x:c r="C9" s="1" t="str">
        <x:v>numeric hours</x:v>
      </x:c>
      <x:c r="D9" s="1" t="str">
        <x:v>NO</x:v>
      </x:c>
      <x:c r="E9" s="1" t="str">
        <x:v>Guam published agent averages are not per-call schedules.</x:v>
      </x:c>
    </x:row>
    <x:row r="10" ht="21" customHeight="1">
      <x:c r="A10" s="1" t="n">
        <x:v>9</x:v>
      </x:c>
      <x:c r="B10" s="1" t="str">
        <x:v>DelayCostUSDPerHour</x:v>
      </x:c>
      <x:c r="C10" s="1" t="str">
        <x:v>USD/hour</x:v>
      </x:c>
      <x:c r="D10" s="1" t="str">
        <x:v>NO</x:v>
      </x:c>
      <x:c r="E10" s="1" t="str">
        <x:v>Existing example sets $1,000/h for all 200 ships; unverified for either port.</x:v>
      </x:c>
    </x:row>
    <x:row r="12">
      <x:c r="A12" t="str">
        <x:v>Example schedule vessels</x:v>
      </x:c>
      <x:c r="B12" t="n">
        <x:v>200</x:v>
      </x:c>
    </x:row>
    <x:row r="13">
      <x:c r="A13" t="str">
        <x:v>First/last ETA (real h)</x:v>
      </x:c>
      <x:c r="B13" t="str">
        <x:v>0 / 495.75</x:v>
      </x:c>
    </x:row>
    <x:row r="14">
      <x:c r="A14" t="str">
        <x:v>Model data source</x:v>
      </x:c>
      <x:c r="B14" t="str">
        <x:v>M01</x:v>
      </x:c>
    </x:row>
    <x:row r="15">
      <x:c r="A15" t="str">
        <x:v>Integration conclusion</x:v>
      </x:c>
      <x:c r="B15" t="str">
        <x:v>Port-specific arrival file unavailable</x:v>
      </x:c>
    </x:row>
    <x:row r="18">
      <x:c r="A18" s="7" t="str">
        <x:v>Annual demand cannot be converted into vessel arrival events without vessel schedules and call-level moves.</x:v>
      </x:c>
      <x:c r="B18" s="7"/>
      <x:c r="C18" s="7"/>
      <x:c r="D18" s="7"/>
      <x:c r="E18" s="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8" hidden="0" customWidth="1"/>
    <x:col min="3" max="3" width="48" hidden="0" customWidth="1"/>
    <x:col min="4" max="4" width="49" hidden="0" customWidth="1"/>
    <x:col min="5" max="5" width="93" hidden="0" customWidth="1"/>
    <x:col min="6" max="6" width="83" hidden="0" customWidth="1"/>
  </x:cols>
  <x:sheetData>
    <x:row r="1" ht="26" customHeight="1">
      <x:c r="A1" s="3" t="str">
        <x:v>source_id</x:v>
      </x:c>
      <x:c r="B1" s="3" t="str">
        <x:v>organization</x:v>
      </x:c>
      <x:c r="C1" s="3" t="str">
        <x:v>document</x:v>
      </x:c>
      <x:c r="D1" s="3" t="str">
        <x:v>location / unit definition</x:v>
      </x:c>
      <x:c r="E1" s="3" t="str">
        <x:v>url</x:v>
      </x:c>
      <x:c r="F1" s="3" t="str">
        <x:v>source note</x:v>
      </x:c>
    </x:row>
    <x:row r="2" ht="21" customHeight="1">
      <x:c r="A2" s="1" t="str">
        <x:v>C01</x:v>
      </x:c>
      <x:c r="B2" s="1" t="str">
        <x:v>Massachusetts Port Authority</x:v>
      </x:c>
      <x:c r="C2" s="1" t="str">
        <x:v>FY2025 Annual Comprehensive Financial Report</x:v>
      </x:c>
      <x:c r="D2" s="1" t="str">
        <x:v>S-15 p.166-167; financial pp.30,36</x:v>
      </x:c>
      <x:c r="E2" s="1" t="str">
        <x:v>https://www.massport.com/sites/default/files/2025-12/Massport-2025-ACFR-Final-Report.pdf</x:v>
      </x:c>
      <x:c r="F2" s="1" t="str">
        <x:v>One published 2016-2025 series; older FY18 and FY20 totals differ; cause unresolved.</x:v>
      </x:c>
    </x:row>
    <x:row r="3" ht="21" customHeight="1">
      <x:c r="A3" s="1" t="str">
        <x:v>C02</x:v>
      </x:c>
      <x:c r="B3" s="1" t="str">
        <x:v>Massachusetts Port Authority</x:v>
      </x:c>
      <x:c r="C3" s="1" t="str">
        <x:v>Conley Terminal About the Port</x:v>
      </x:c>
      <x:c r="D3" s="1" t="str">
        <x:v>Terminal Modernization Project</x:v>
      </x:c>
      <x:c r="E3" s="1" t="str">
        <x:v>https://www.massport.com/conley-terminal/about-the-port</x:v>
      </x:c>
      <x:c r="F3" s="1" t="str">
        <x:v>50-ft berths; 2021 cranes; published serviced vessel class 15,000 TEU.</x:v>
      </x:c>
    </x:row>
    <x:row r="4" ht="21" customHeight="1">
      <x:c r="A4" s="1" t="str">
        <x:v>G02</x:v>
      </x:c>
      <x:c r="B4" s="1" t="str">
        <x:v>Guam Economic Development Authority</x:v>
      </x:c>
      <x:c r="C4" s="1" t="str">
        <x:v>Economic Indicators</x:v>
      </x:c>
      <x:c r="D4" s="1" t="str">
        <x:v>Seaport table FY2020-2024</x:v>
      </x:c>
      <x:c r="E4" s="1" t="str">
        <x:v>https://www.investguam.com/economic-indicators/</x:v>
      </x:c>
      <x:c r="F4" s="1" t="str">
        <x:v>Exact box counts and all-vessel calls; table attributes figures to Guam Port cargo statistics.</x:v>
      </x:c>
    </x:row>
    <x:row r="5" ht="21" customHeight="1">
      <x:c r="A5" s="1" t="str">
        <x:v>G03</x:v>
      </x:c>
      <x:c r="B5" s="1" t="str">
        <x:v>Port Authority of Guam</x:v>
      </x:c>
      <x:c r="C5" s="1" t="str">
        <x:v>Board materials, Nov 2025</x:v>
      </x:c>
      <x:c r="D5" s="1" t="str">
        <x:v>GM FY2025 ended Sep 30, p.9</x:v>
      </x:c>
      <x:c r="E5" s="1" t="str">
        <x:v>https://portofguam.com/sites/default/files/112125_pag_board_meeting_materials.pdf</x:v>
      </x:c>
      <x:c r="F5" s="1" t="str">
        <x:v>FY2025 83,574 boxes; published board report, not audited vessel-level records.</x:v>
      </x:c>
    </x:row>
    <x:row r="6" ht="21" customHeight="1">
      <x:c r="A6" s="1" t="str">
        <x:v>G04</x:v>
      </x:c>
      <x:c r="B6" s="1" t="str">
        <x:v>Office of Public Accountability, Guam</x:v>
      </x:c>
      <x:c r="C6" s="1" t="str">
        <x:v>Port Authority FY2025 financial audit highlights</x:v>
      </x:c>
      <x:c r="D6" s="1" t="str">
        <x:v>FY2024/FY2025 operating totals, pp.1-3</x:v>
      </x:c>
      <x:c r="E6" s="1" t="str">
        <x:v>https://opaguam.org/file/14076/download?token=gi35SmuE</x:v>
      </x:c>
      <x:c r="F6" s="1" t="str">
        <x:v>Exact operating totals, $ rounded project references, 3 aging crane replacement scope.</x:v>
      </x:c>
    </x:row>
    <x:row r="7" ht="21" customHeight="1">
      <x:c r="A7" s="1" t="str">
        <x:v>G05</x:v>
      </x:c>
      <x:c r="B7" s="1" t="str">
        <x:v>Port Authority of Guam</x:v>
      </x:c>
      <x:c r="C7" s="1" t="str">
        <x:v>Board materials, May 2026</x:v>
      </x:c>
      <x:c r="D7" s="1" t="str">
        <x:v>Award update, GM report p.20</x:v>
      </x:c>
      <x:c r="E7" s="1" t="str">
        <x:v>https://portofguam.com/sites/default/files/052826_pag_board_meeting_materials.pdf</x:v>
      </x:c>
      <x:c r="F7" s="1" t="str">
        <x:v>Award $59,669,434, local share $14,917,358, total $74,586,792.</x:v>
      </x:c>
    </x:row>
    <x:row r="8" ht="21" customHeight="1">
      <x:c r="A8" s="1" t="str">
        <x:v>G06</x:v>
      </x:c>
      <x:c r="B8" s="1" t="str">
        <x:v>Port Authority of Guam</x:v>
      </x:c>
      <x:c r="C8" s="1" t="str">
        <x:v>FY2024 Annual Report</x:v>
      </x:c>
      <x:c r="D8" s="1" t="str">
        <x:v>Operational Excellence p.6; agent summary</x:v>
      </x:c>
      <x:c r="E8" s="1" t="str">
        <x:v>https://portofguam.com/sites/default/files/fy2024_annual_report.pdf</x:v>
      </x:c>
      <x:c r="F8" s="1" t="str">
        <x:v>Two-year grouped averages; never interpret as separate annual measurements.</x:v>
      </x:c>
    </x:row>
    <x:row r="9" ht="21" customHeight="1">
      <x:c r="A9" s="1" t="str">
        <x:v>M01</x:v>
      </x:c>
      <x:c r="B9" s="1" t="str">
        <x:v>User-supplied archive</x:v>
      </x:c>
      <x:c r="C9" s="1" t="str">
        <x:v>PortDigitalTwin_Part6_StressPolicyValidation2.zip</x:v>
      </x:c>
      <x:c r="D9" s="1" t="str">
        <x:v>Arrivals worksheet in included schedule</x:v>
      </x:c>
      <x:c r="E9" s="1" t="str"/>
      <x:c r="F9" s="1" t="str">
        <x:v>Illustrative 200-vessel baseline, not a Guam/Conley observed dataset.</x:v>
      </x:c>
    </x:row>
  </x:sheetData>
  <x:pageMargins left="0.7" right="0.7" top="0.75" bottom="0.75" header="0.3" footer="0.3"/>
</x:worksheet>
</file>